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625" codeName="{EAAD5824-E589-9196-6FC8-2F1B51211585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LiftedMonk\Documents\FAll2017\Smester\System Analysis\N\NEWW\"/>
    </mc:Choice>
  </mc:AlternateContent>
  <bookViews>
    <workbookView xWindow="0" yWindow="0" windowWidth="18996" windowHeight="8940" xr2:uid="{00000000-000D-0000-FFFF-FFFF00000000}"/>
  </bookViews>
  <sheets>
    <sheet name="Vendors" sheetId="2" r:id="rId1"/>
    <sheet name="Inventory" sheetId="1" r:id="rId2"/>
    <sheet name="Receipt" sheetId="3" r:id="rId3"/>
    <sheet name="PrintReceipt" sheetId="10" r:id="rId4"/>
    <sheet name="TotalSales" sheetId="11" r:id="rId5"/>
    <sheet name="MostSold" sheetId="12" r:id="rId6"/>
  </sheets>
  <definedNames>
    <definedName name="Item">Inventory!#REF!</definedName>
    <definedName name="_xlnm.Print_Area" localSheetId="3">PrintReceipt!$A$1:$E$28</definedName>
    <definedName name="Quantity">Inventory!$B:$B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1" l="1"/>
  <c r="F3" i="1"/>
  <c r="F4" i="1"/>
  <c r="F5" i="1"/>
  <c r="F6" i="1"/>
  <c r="F7" i="1"/>
  <c r="F8" i="1"/>
  <c r="F9" i="1"/>
  <c r="B5" i="11" l="1"/>
  <c r="B3" i="12" l="1"/>
  <c r="B9" i="11" l="1"/>
  <c r="B4" i="11"/>
  <c r="B9" i="12" l="1"/>
  <c r="B11" i="11"/>
  <c r="B7" i="12"/>
  <c r="B8" i="12"/>
  <c r="B10" i="11"/>
  <c r="B8" i="11"/>
  <c r="B6" i="12"/>
  <c r="B4" i="12"/>
  <c r="B6" i="11"/>
  <c r="B5" i="12"/>
  <c r="B7" i="11"/>
  <c r="B12" i="11" l="1"/>
</calcChain>
</file>

<file path=xl/sharedStrings.xml><?xml version="1.0" encoding="utf-8"?>
<sst xmlns="http://schemas.openxmlformats.org/spreadsheetml/2006/main" count="100" uniqueCount="70">
  <si>
    <t>Traditional Drip</t>
  </si>
  <si>
    <t>French Press</t>
  </si>
  <si>
    <t>Vacuum Pot</t>
  </si>
  <si>
    <t>Macchiato</t>
  </si>
  <si>
    <t>Latte</t>
  </si>
  <si>
    <t>Mocha</t>
  </si>
  <si>
    <t>Phone Number</t>
  </si>
  <si>
    <t>Armark</t>
  </si>
  <si>
    <t>NewHope Dairy Farms</t>
  </si>
  <si>
    <t>Mary's Bakery</t>
  </si>
  <si>
    <t>SoulTea Farms</t>
  </si>
  <si>
    <t>Barry (utilities)</t>
  </si>
  <si>
    <t>Kait (goods)</t>
  </si>
  <si>
    <t>Matt (accountant)</t>
  </si>
  <si>
    <t>Vendor_ID</t>
  </si>
  <si>
    <t>Vendor_Name</t>
  </si>
  <si>
    <t>Date</t>
  </si>
  <si>
    <t>Total</t>
  </si>
  <si>
    <t>Price</t>
  </si>
  <si>
    <t>Sales</t>
  </si>
  <si>
    <t>Product_Name</t>
  </si>
  <si>
    <t>Expresso</t>
  </si>
  <si>
    <t>Time</t>
  </si>
  <si>
    <t>Cold Brew</t>
  </si>
  <si>
    <t>Quantity(on hand)</t>
  </si>
  <si>
    <t>Product_ID</t>
  </si>
  <si>
    <t>TotalSales</t>
  </si>
  <si>
    <t>Quantiy(sold)</t>
  </si>
  <si>
    <t>City</t>
  </si>
  <si>
    <t>State</t>
  </si>
  <si>
    <t>Zip</t>
  </si>
  <si>
    <t>Street</t>
  </si>
  <si>
    <t>22 Townline</t>
  </si>
  <si>
    <t>34 Stingway</t>
  </si>
  <si>
    <t>52 Fletcher</t>
  </si>
  <si>
    <t>7 Common</t>
  </si>
  <si>
    <t>3 Hellsway</t>
  </si>
  <si>
    <t>1 Forgotten</t>
  </si>
  <si>
    <t>2 Path</t>
  </si>
  <si>
    <t>Lowell</t>
  </si>
  <si>
    <t>Chelmsford</t>
  </si>
  <si>
    <t>Burlington</t>
  </si>
  <si>
    <t>MA</t>
  </si>
  <si>
    <t>Willmington</t>
  </si>
  <si>
    <t>Boston</t>
  </si>
  <si>
    <t>Dracut</t>
  </si>
  <si>
    <t>Lowell, MA</t>
  </si>
  <si>
    <t xml:space="preserve"> RiverHawk CAFÉ</t>
  </si>
  <si>
    <t>Date:</t>
  </si>
  <si>
    <t>Time:</t>
  </si>
  <si>
    <t>143 Pawtucket Blvd</t>
  </si>
  <si>
    <t>A Liquid Hug For Your Soul</t>
  </si>
  <si>
    <t>Tel. (987) 324-2245       Fax. (206) 234-2234</t>
  </si>
  <si>
    <t>Order#</t>
  </si>
  <si>
    <t>Thank you very much.</t>
  </si>
  <si>
    <t>..rule the world..</t>
  </si>
  <si>
    <t>Order#:</t>
  </si>
  <si>
    <t>Quantity</t>
  </si>
  <si>
    <t>SALE</t>
  </si>
  <si>
    <t>TOTAL</t>
  </si>
  <si>
    <t>SALES:</t>
  </si>
  <si>
    <t>Total Sales (dollars):</t>
  </si>
  <si>
    <t>Inventory</t>
  </si>
  <si>
    <t>Total Sales</t>
  </si>
  <si>
    <t>Quantity Sold</t>
  </si>
  <si>
    <t>Tax (6.25)</t>
  </si>
  <si>
    <t>Sales Tax:</t>
  </si>
  <si>
    <t>Grand Total:</t>
  </si>
  <si>
    <t>Change Returned: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</si>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</sst>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7" formatCode="&quot;$&quot;#,##0.00_);\(&quot;$&quot;#,##0.00\)"/>
    <numFmt numFmtId="164" formatCode="m/d/yy;@"/>
    <numFmt numFmtId="165" formatCode="[$-409]h:mm\ AM/PM;@"/>
    <numFmt numFmtId="166" formatCode="[&lt;=9999999]###\-####;\(###\)\ ###\-####"/>
    <numFmt numFmtId="167" formatCode="00000"/>
    <numFmt numFmtId="168" formatCode="_([$$-409]* #,##0.00_);_([$$-409]* \(#,##0.00\);_([$$-409]* &quot;-&quot;??_);_(@_)"/>
    <numFmt numFmtId="169" formatCode="&quot;$&quot;#,##0.00"/>
  </numFmts>
  <fonts count="18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sz val="11"/>
      <color indexed="8"/>
      <name val="Calibri"/>
    </font>
    <font>
      <u/>
      <sz val="16"/>
      <color theme="1"/>
      <name val="AR JULIAN"/>
    </font>
    <font>
      <sz val="11"/>
      <color theme="1"/>
      <name val="Adobe Caslon Pro"/>
      <family val="1"/>
    </font>
    <font>
      <u/>
      <sz val="11"/>
      <color theme="1"/>
      <name val="Calibri"/>
      <family val="2"/>
      <scheme val="minor"/>
    </font>
    <font>
      <sz val="11"/>
      <color theme="1"/>
      <name val="Adobe Caslon Pro Bold"/>
      <family val="1"/>
    </font>
    <font>
      <b/>
      <u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u/>
      <sz val="16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theme="4" tint="0.79998168889431442"/>
      </patternFill>
    </fill>
  </fills>
  <borders count="1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0" borderId="0"/>
    <xf numFmtId="0" fontId="3" fillId="0" borderId="0"/>
  </cellStyleXfs>
  <cellXfs count="95">
    <xf numFmtId="0" fontId="0" fillId="0" borderId="0" xfId="0"/>
    <xf numFmtId="0" fontId="2" fillId="0" borderId="1" xfId="2" applyFont="1" applyFill="1" applyBorder="1" applyAlignment="1">
      <alignment horizontal="right" wrapText="1"/>
    </xf>
    <xf numFmtId="0" fontId="2" fillId="0" borderId="1" xfId="2" applyFont="1" applyFill="1" applyBorder="1" applyAlignment="1">
      <alignment wrapText="1"/>
    </xf>
    <xf numFmtId="0" fontId="2" fillId="2" borderId="2" xfId="2" applyFont="1" applyFill="1" applyBorder="1" applyAlignment="1">
      <alignment horizontal="center"/>
    </xf>
    <xf numFmtId="0" fontId="2" fillId="0" borderId="1" xfId="3" applyFont="1" applyFill="1" applyBorder="1" applyAlignment="1">
      <alignment horizontal="right" wrapText="1"/>
    </xf>
    <xf numFmtId="0" fontId="2" fillId="0" borderId="1" xfId="3" applyFont="1" applyFill="1" applyBorder="1" applyAlignment="1">
      <alignment wrapText="1"/>
    </xf>
    <xf numFmtId="0" fontId="2" fillId="2" borderId="2" xfId="3" applyFont="1" applyFill="1" applyBorder="1" applyAlignment="1">
      <alignment horizontal="center"/>
    </xf>
    <xf numFmtId="0" fontId="2" fillId="0" borderId="3" xfId="3" applyFont="1" applyFill="1" applyBorder="1" applyAlignment="1">
      <alignment horizontal="right" wrapText="1"/>
    </xf>
    <xf numFmtId="0" fontId="2" fillId="0" borderId="3" xfId="3" applyFont="1" applyFill="1" applyBorder="1" applyAlignment="1">
      <alignment wrapText="1"/>
    </xf>
    <xf numFmtId="164" fontId="0" fillId="0" borderId="0" xfId="0" applyNumberFormat="1"/>
    <xf numFmtId="165" fontId="0" fillId="0" borderId="0" xfId="0" applyNumberFormat="1"/>
    <xf numFmtId="0" fontId="4" fillId="0" borderId="1" xfId="1" applyFont="1" applyFill="1" applyBorder="1" applyAlignment="1">
      <alignment horizontal="right" wrapText="1"/>
    </xf>
    <xf numFmtId="0" fontId="4" fillId="0" borderId="1" xfId="1" applyFont="1" applyFill="1" applyBorder="1" applyAlignment="1">
      <alignment wrapText="1"/>
    </xf>
    <xf numFmtId="2" fontId="2" fillId="2" borderId="2" xfId="2" applyNumberFormat="1" applyFont="1" applyFill="1" applyBorder="1" applyAlignment="1">
      <alignment horizontal="center"/>
    </xf>
    <xf numFmtId="0" fontId="4" fillId="2" borderId="2" xfId="2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1" fontId="2" fillId="2" borderId="2" xfId="3" applyNumberFormat="1" applyFont="1" applyFill="1" applyBorder="1" applyAlignment="1">
      <alignment horizontal="center"/>
    </xf>
    <xf numFmtId="0" fontId="6" fillId="2" borderId="2" xfId="1" applyFont="1" applyFill="1" applyBorder="1" applyAlignment="1">
      <alignment horizontal="center"/>
    </xf>
    <xf numFmtId="4" fontId="2" fillId="2" borderId="2" xfId="1" applyNumberFormat="1" applyFont="1" applyFill="1" applyBorder="1" applyAlignment="1">
      <alignment horizontal="center"/>
    </xf>
    <xf numFmtId="4" fontId="0" fillId="0" borderId="0" xfId="0" applyNumberFormat="1"/>
    <xf numFmtId="166" fontId="2" fillId="2" borderId="2" xfId="3" applyNumberFormat="1" applyFont="1" applyFill="1" applyBorder="1" applyAlignment="1">
      <alignment horizontal="center"/>
    </xf>
    <xf numFmtId="166" fontId="2" fillId="0" borderId="1" xfId="3" applyNumberFormat="1" applyFont="1" applyFill="1" applyBorder="1" applyAlignment="1">
      <alignment wrapText="1"/>
    </xf>
    <xf numFmtId="166" fontId="2" fillId="0" borderId="3" xfId="3" quotePrefix="1" applyNumberFormat="1" applyFont="1" applyFill="1" applyBorder="1" applyAlignment="1">
      <alignment wrapText="1"/>
    </xf>
    <xf numFmtId="166" fontId="2" fillId="0" borderId="3" xfId="3" applyNumberFormat="1" applyFont="1" applyFill="1" applyBorder="1" applyAlignment="1">
      <alignment wrapText="1"/>
    </xf>
    <xf numFmtId="166" fontId="0" fillId="0" borderId="0" xfId="0" applyNumberFormat="1"/>
    <xf numFmtId="0" fontId="2" fillId="0" borderId="0" xfId="3" applyFont="1" applyFill="1" applyAlignment="1">
      <alignment wrapText="1"/>
    </xf>
    <xf numFmtId="167" fontId="2" fillId="2" borderId="2" xfId="3" applyNumberFormat="1" applyFont="1" applyFill="1" applyBorder="1" applyAlignment="1">
      <alignment horizontal="center"/>
    </xf>
    <xf numFmtId="0" fontId="0" fillId="0" borderId="0" xfId="0" applyAlignment="1">
      <alignment vertical="center"/>
    </xf>
    <xf numFmtId="2" fontId="0" fillId="0" borderId="0" xfId="0" applyNumberFormat="1"/>
    <xf numFmtId="14" fontId="0" fillId="0" borderId="0" xfId="0" applyNumberFormat="1"/>
    <xf numFmtId="19" fontId="0" fillId="0" borderId="0" xfId="0" applyNumberFormat="1"/>
    <xf numFmtId="7" fontId="0" fillId="0" borderId="0" xfId="0" applyNumberFormat="1"/>
    <xf numFmtId="0" fontId="2" fillId="0" borderId="1" xfId="1" applyFont="1" applyBorder="1" applyAlignment="1">
      <alignment wrapText="1"/>
    </xf>
    <xf numFmtId="0" fontId="12" fillId="0" borderId="0" xfId="0" applyFont="1"/>
    <xf numFmtId="0" fontId="2" fillId="3" borderId="1" xfId="2" applyNumberFormat="1" applyFont="1" applyFill="1" applyBorder="1" applyAlignment="1">
      <alignment wrapText="1"/>
    </xf>
    <xf numFmtId="0" fontId="2" fillId="0" borderId="1" xfId="2" applyNumberFormat="1" applyFont="1" applyBorder="1" applyAlignment="1">
      <alignment wrapText="1"/>
    </xf>
    <xf numFmtId="168" fontId="5" fillId="0" borderId="0" xfId="0" applyNumberFormat="1" applyFont="1"/>
    <xf numFmtId="168" fontId="0" fillId="0" borderId="0" xfId="0" applyNumberFormat="1"/>
    <xf numFmtId="0" fontId="0" fillId="0" borderId="0" xfId="0" applyBorder="1"/>
    <xf numFmtId="0" fontId="13" fillId="0" borderId="0" xfId="0" applyFont="1"/>
    <xf numFmtId="0" fontId="2" fillId="0" borderId="0" xfId="2" applyNumberFormat="1" applyFont="1" applyFill="1" applyBorder="1" applyAlignment="1">
      <alignment wrapText="1"/>
    </xf>
    <xf numFmtId="0" fontId="15" fillId="0" borderId="0" xfId="2" applyNumberFormat="1" applyFont="1" applyFill="1" applyBorder="1" applyAlignment="1">
      <alignment wrapText="1"/>
    </xf>
    <xf numFmtId="0" fontId="5" fillId="0" borderId="0" xfId="0" applyFont="1"/>
    <xf numFmtId="168" fontId="16" fillId="0" borderId="0" xfId="0" applyNumberFormat="1" applyFont="1"/>
    <xf numFmtId="0" fontId="17" fillId="0" borderId="0" xfId="0" applyFont="1"/>
    <xf numFmtId="169" fontId="0" fillId="0" borderId="0" xfId="0" applyNumberFormat="1"/>
    <xf numFmtId="0" fontId="0" fillId="0" borderId="4" xfId="0" applyBorder="1" applyAlignment="1">
      <alignment vertical="center"/>
    </xf>
    <xf numFmtId="0" fontId="7" fillId="0" borderId="5" xfId="0" applyFont="1" applyBorder="1" applyAlignment="1">
      <alignment vertical="center"/>
    </xf>
    <xf numFmtId="0" fontId="0" fillId="0" borderId="5" xfId="0" applyBorder="1" applyAlignment="1">
      <alignment vertical="center"/>
    </xf>
    <xf numFmtId="169" fontId="0" fillId="0" borderId="6" xfId="0" applyNumberFormat="1" applyBorder="1"/>
    <xf numFmtId="0" fontId="0" fillId="0" borderId="7" xfId="0" applyBorder="1" applyAlignment="1">
      <alignment vertical="center"/>
    </xf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69" fontId="0" fillId="0" borderId="8" xfId="0" applyNumberFormat="1" applyBorder="1" applyAlignment="1">
      <alignment vertical="center"/>
    </xf>
    <xf numFmtId="0" fontId="8" fillId="0" borderId="0" xfId="0" applyFont="1" applyBorder="1" applyAlignment="1">
      <alignment horizontal="center" vertical="center"/>
    </xf>
    <xf numFmtId="0" fontId="11" fillId="0" borderId="7" xfId="0" applyFont="1" applyBorder="1" applyAlignment="1">
      <alignment vertical="center"/>
    </xf>
    <xf numFmtId="14" fontId="0" fillId="0" borderId="0" xfId="0" applyNumberFormat="1" applyBorder="1" applyAlignment="1">
      <alignment vertical="center"/>
    </xf>
    <xf numFmtId="19" fontId="0" fillId="0" borderId="0" xfId="0" applyNumberFormat="1" applyBorder="1" applyAlignment="1">
      <alignment vertical="center"/>
    </xf>
    <xf numFmtId="0" fontId="9" fillId="0" borderId="7" xfId="0" applyFont="1" applyBorder="1" applyAlignment="1">
      <alignment vertical="center"/>
    </xf>
    <xf numFmtId="0" fontId="9" fillId="0" borderId="0" xfId="0" applyFont="1" applyBorder="1" applyAlignment="1">
      <alignment horizontal="left" vertical="top"/>
    </xf>
    <xf numFmtId="0" fontId="9" fillId="0" borderId="0" xfId="0" applyFont="1" applyBorder="1" applyAlignment="1">
      <alignment vertical="center"/>
    </xf>
    <xf numFmtId="169" fontId="9" fillId="0" borderId="8" xfId="0" applyNumberFormat="1" applyFont="1" applyBorder="1" applyAlignment="1">
      <alignment vertical="center"/>
    </xf>
    <xf numFmtId="0" fontId="0" fillId="0" borderId="7" xfId="0" applyBorder="1"/>
    <xf numFmtId="169" fontId="0" fillId="0" borderId="8" xfId="0" applyNumberFormat="1" applyBorder="1"/>
    <xf numFmtId="0" fontId="2" fillId="0" borderId="9" xfId="2" applyNumberFormat="1" applyFont="1" applyBorder="1" applyAlignment="1">
      <alignment wrapText="1"/>
    </xf>
    <xf numFmtId="0" fontId="2" fillId="0" borderId="9" xfId="1" applyFont="1" applyBorder="1" applyAlignment="1">
      <alignment wrapText="1"/>
    </xf>
    <xf numFmtId="169" fontId="5" fillId="0" borderId="8" xfId="0" applyNumberFormat="1" applyFont="1" applyBorder="1"/>
    <xf numFmtId="0" fontId="14" fillId="0" borderId="7" xfId="0" applyFont="1" applyBorder="1"/>
    <xf numFmtId="0" fontId="9" fillId="0" borderId="0" xfId="0" applyFont="1" applyBorder="1"/>
    <xf numFmtId="169" fontId="14" fillId="0" borderId="8" xfId="0" applyNumberFormat="1" applyFont="1" applyBorder="1"/>
    <xf numFmtId="0" fontId="16" fillId="0" borderId="7" xfId="0" applyFont="1" applyBorder="1"/>
    <xf numFmtId="169" fontId="11" fillId="0" borderId="8" xfId="0" applyNumberFormat="1" applyFont="1" applyBorder="1"/>
    <xf numFmtId="0" fontId="9" fillId="0" borderId="0" xfId="0" applyFont="1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10" fillId="0" borderId="11" xfId="0" quotePrefix="1" applyFont="1" applyBorder="1" applyAlignment="1">
      <alignment horizontal="center"/>
    </xf>
    <xf numFmtId="169" fontId="0" fillId="0" borderId="12" xfId="0" applyNumberFormat="1" applyBorder="1"/>
    <xf numFmtId="0" fontId="2" fillId="0" borderId="1" xfId="2" applyNumberFormat="1" applyFont="1" applyFill="1" applyBorder="1" applyAlignment="1">
      <alignment wrapText="1"/>
    </xf>
    <xf numFmtId="0" fontId="2" fillId="0" borderId="13" xfId="2" applyNumberFormat="1" applyFont="1" applyBorder="1" applyAlignment="1">
      <alignment wrapText="1"/>
    </xf>
    <xf numFmtId="169" fontId="2" fillId="2" borderId="2" xfId="1" applyNumberFormat="1" applyFont="1" applyFill="1" applyBorder="1" applyAlignment="1">
      <alignment horizontal="center"/>
    </xf>
    <xf numFmtId="0" fontId="6" fillId="0" borderId="1" xfId="1" applyFont="1" applyFill="1" applyBorder="1" applyAlignment="1">
      <alignment horizontal="right" wrapText="1"/>
    </xf>
    <xf numFmtId="0" fontId="6" fillId="0" borderId="1" xfId="1" applyFont="1" applyFill="1" applyBorder="1" applyAlignment="1">
      <alignment wrapText="1"/>
    </xf>
    <xf numFmtId="0" fontId="6" fillId="0" borderId="3" xfId="1" applyFont="1" applyFill="1" applyBorder="1" applyAlignment="1">
      <alignment horizontal="right" wrapText="1"/>
    </xf>
    <xf numFmtId="0" fontId="6" fillId="0" borderId="3" xfId="1" applyFont="1" applyFill="1" applyBorder="1" applyAlignment="1">
      <alignment wrapText="1"/>
    </xf>
    <xf numFmtId="4" fontId="0" fillId="0" borderId="0" xfId="0" applyNumberFormat="1" applyBorder="1"/>
    <xf numFmtId="169" fontId="0" fillId="0" borderId="0" xfId="0" applyNumberFormat="1" applyBorder="1"/>
    <xf numFmtId="0" fontId="6" fillId="0" borderId="1" xfId="3" applyFont="1" applyFill="1" applyBorder="1" applyAlignment="1">
      <alignment horizontal="right" wrapText="1"/>
    </xf>
    <xf numFmtId="0" fontId="6" fillId="0" borderId="1" xfId="3" applyFont="1" applyFill="1" applyBorder="1" applyAlignment="1">
      <alignment wrapText="1"/>
    </xf>
    <xf numFmtId="0" fontId="2" fillId="0" borderId="13" xfId="3" applyFont="1" applyFill="1" applyBorder="1" applyAlignment="1">
      <alignment wrapText="1"/>
    </xf>
    <xf numFmtId="166" fontId="6" fillId="0" borderId="1" xfId="3" applyNumberFormat="1" applyFont="1" applyFill="1" applyBorder="1" applyAlignment="1">
      <alignment wrapText="1"/>
    </xf>
    <xf numFmtId="0" fontId="6" fillId="0" borderId="3" xfId="3" applyFont="1" applyFill="1" applyBorder="1" applyAlignment="1">
      <alignment horizontal="right" wrapText="1"/>
    </xf>
    <xf numFmtId="0" fontId="6" fillId="0" borderId="3" xfId="3" applyFont="1" applyFill="1" applyBorder="1" applyAlignment="1">
      <alignment wrapText="1"/>
    </xf>
    <xf numFmtId="166" fontId="6" fillId="0" borderId="3" xfId="3" applyNumberFormat="1" applyFont="1" applyFill="1" applyBorder="1" applyAlignment="1">
      <alignment wrapText="1"/>
    </xf>
    <xf numFmtId="0" fontId="2" fillId="0" borderId="1" xfId="1" applyFont="1" applyFill="1" applyBorder="1" applyAlignment="1">
      <alignment wrapText="1"/>
    </xf>
  </cellXfs>
  <cellStyles count="4">
    <cellStyle name="Normal" xfId="0" builtinId="0"/>
    <cellStyle name="Normal_Inventory" xfId="2" xr:uid="{00000000-0005-0000-0000-000001000000}"/>
    <cellStyle name="Normal_Order" xfId="3" xr:uid="{00000000-0005-0000-0000-000002000000}"/>
    <cellStyle name="Warning Text" xfId="1" builtinId="11"/>
  </cellStyles>
  <dxfs count="21">
    <dxf>
      <numFmt numFmtId="11" formatCode="&quot;$&quot;#,##0.00_);\(&quot;$&quot;#,##0.00\)"/>
    </dxf>
    <dxf>
      <numFmt numFmtId="169" formatCode="&quot;$&quot;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8"/>
        </top>
      </border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166" formatCode="[&lt;=9999999]###\-####;\(###\)\ ###\-####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18" Type="http://schemas.openxmlformats.org/officeDocument/2006/relationships/customXml" Target="../customXml/item8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17" Type="http://schemas.openxmlformats.org/officeDocument/2006/relationships/customXml" Target="../customXml/item7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6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5.xml"/><Relationship Id="rId10" Type="http://schemas.openxmlformats.org/officeDocument/2006/relationships/calcChain" Target="calcChain.xml"/><Relationship Id="rId19" Type="http://schemas.openxmlformats.org/officeDocument/2006/relationships/customXml" Target="../customXml/item9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le4" displayName="Table4" ref="A1:G33" totalsRowShown="0" headerRowDxfId="20" dataDxfId="18" headerRowBorderDxfId="19" tableBorderDxfId="17" totalsRowBorderDxfId="16" headerRowCellStyle="Normal_Order" dataCellStyle="Normal_Order">
  <autoFilter ref="A1:G33" xr:uid="{00000000-0009-0000-0100-000004000000}"/>
  <tableColumns count="7">
    <tableColumn id="1" xr3:uid="{00000000-0010-0000-0000-000001000000}" name="Vendor_ID" dataDxfId="15" dataCellStyle="Normal_Order"/>
    <tableColumn id="2" xr3:uid="{00000000-0010-0000-0000-000002000000}" name="Vendor_Name" dataDxfId="14" dataCellStyle="Normal_Order"/>
    <tableColumn id="10" xr3:uid="{722E50F5-EF22-43A7-8CEC-314B271E5175}" name="Street" dataDxfId="13" dataCellStyle="Normal_Order"/>
    <tableColumn id="9" xr3:uid="{F4237FA5-E944-4915-B183-CB09821395AD}" name="City" dataDxfId="12" dataCellStyle="Normal_Order"/>
    <tableColumn id="11" xr3:uid="{53651036-6714-4D75-8584-CB20ED3CA386}" name="State" dataDxfId="11" dataCellStyle="Normal_Order"/>
    <tableColumn id="3" xr3:uid="{00000000-0010-0000-0000-000003000000}" name="Zip" dataDxfId="10" dataCellStyle="Normal_Order"/>
    <tableColumn id="4" xr3:uid="{00000000-0010-0000-0000-000004000000}" name="Phone Number" dataDxfId="9" dataCellStyle="Normal_Ord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A1:G71" totalsRowShown="0" headerRowDxfId="8" headerRowBorderDxfId="7" tableBorderDxfId="6" headerRowCellStyle="Warning Text">
  <autoFilter ref="A1:G71" xr:uid="{00000000-0009-0000-0100-000002000000}"/>
  <sortState ref="A2:G17">
    <sortCondition descending="1" ref="E1:E17"/>
  </sortState>
  <tableColumns count="7">
    <tableColumn id="1" xr3:uid="{00000000-0010-0000-0100-000001000000}" name="Product_ID" dataDxfId="5" dataCellStyle="Warning Text"/>
    <tableColumn id="2" xr3:uid="{00000000-0010-0000-0100-000002000000}" name="Product_Name" dataDxfId="4" dataCellStyle="Warning Text"/>
    <tableColumn id="3" xr3:uid="{00000000-0010-0000-0100-000003000000}" name="Quantity(on hand)" dataDxfId="3" dataCellStyle="Warning Text"/>
    <tableColumn id="4" xr3:uid="{00000000-0010-0000-0100-000004000000}" name="Price" dataDxfId="2"/>
    <tableColumn id="6" xr3:uid="{017C5804-CF35-4450-8F9F-3CAA61889F9A}" name="Quantiy(sold)"/>
    <tableColumn id="7" xr3:uid="{A015BE99-A870-4EF1-8309-3AE3FC8D0633}" name="TotalSales" dataDxfId="1">
      <calculatedColumnFormula>Table2[[#This Row],[Quantiy(sold)]]*Table2[[#This Row],[Price]]</calculatedColumnFormula>
    </tableColumn>
    <tableColumn id="8" xr3:uid="{6C4C37CD-6FAC-4EE5-8247-34B797D82163}" name="Vendor_ID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Table6" displayName="Table6" ref="A1:F119" totalsRowShown="0">
  <autoFilter ref="A1:F119" xr:uid="{00000000-0009-0000-0100-000006000000}"/>
  <tableColumns count="6">
    <tableColumn id="6" xr3:uid="{00000000-0010-0000-0300-000006000000}" name="Order#"/>
    <tableColumn id="10" xr3:uid="{00000000-0010-0000-0300-00000A000000}" name="Date"/>
    <tableColumn id="2" xr3:uid="{00000000-0010-0000-0300-000002000000}" name="Time"/>
    <tableColumn id="3" xr3:uid="{00000000-0010-0000-0300-000003000000}" name="Sales" dataDxfId="0"/>
    <tableColumn id="4" xr3:uid="{00000000-0010-0000-0300-000004000000}" name="Tax (6.25)"/>
    <tableColumn id="5" xr3:uid="{00000000-0010-0000-0300-000005000000}" name="Tot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K33"/>
  <sheetViews>
    <sheetView tabSelected="1" workbookViewId="0">
      <selection activeCell="F21" sqref="F21"/>
    </sheetView>
  </sheetViews>
  <sheetFormatPr defaultRowHeight="14.4" x14ac:dyDescent="0.3"/>
  <cols>
    <col min="1" max="1" width="14.88671875" customWidth="1"/>
    <col min="2" max="2" width="18.109375" customWidth="1"/>
    <col min="3" max="3" width="14.6640625" customWidth="1"/>
    <col min="4" max="5" width="15.6640625" style="24" customWidth="1"/>
    <col min="7" max="7" width="29.21875" customWidth="1"/>
  </cols>
  <sheetData>
    <row r="1" spans="1:11" x14ac:dyDescent="0.3">
      <c r="A1" s="16" t="s">
        <v>14</v>
      </c>
      <c r="B1" s="6" t="s">
        <v>15</v>
      </c>
      <c r="C1" s="6" t="s">
        <v>31</v>
      </c>
      <c r="D1" s="6" t="s">
        <v>28</v>
      </c>
      <c r="E1" s="6" t="s">
        <v>29</v>
      </c>
      <c r="F1" s="26" t="s">
        <v>30</v>
      </c>
      <c r="G1" s="20" t="s">
        <v>6</v>
      </c>
      <c r="H1" s="6"/>
      <c r="I1" s="6"/>
      <c r="J1" s="6"/>
      <c r="K1" s="6"/>
    </row>
    <row r="2" spans="1:11" x14ac:dyDescent="0.3">
      <c r="A2" s="4">
        <v>1</v>
      </c>
      <c r="B2" s="5" t="s">
        <v>7</v>
      </c>
      <c r="C2" s="5" t="s">
        <v>32</v>
      </c>
      <c r="D2" s="5" t="s">
        <v>39</v>
      </c>
      <c r="E2" s="5" t="s">
        <v>42</v>
      </c>
      <c r="F2" s="5">
        <v>2345</v>
      </c>
      <c r="G2" s="21">
        <v>7813540023</v>
      </c>
      <c r="H2" s="25"/>
      <c r="I2" s="25"/>
      <c r="J2" s="25"/>
      <c r="K2" s="25"/>
    </row>
    <row r="3" spans="1:11" ht="28.8" x14ac:dyDescent="0.3">
      <c r="A3" s="4">
        <v>2</v>
      </c>
      <c r="B3" s="5" t="s">
        <v>8</v>
      </c>
      <c r="C3" s="5" t="s">
        <v>33</v>
      </c>
      <c r="D3" s="5" t="s">
        <v>40</v>
      </c>
      <c r="E3" s="5" t="s">
        <v>42</v>
      </c>
      <c r="F3" s="5">
        <v>1234</v>
      </c>
      <c r="G3" s="21">
        <v>989987775</v>
      </c>
      <c r="H3" s="25"/>
      <c r="I3" s="25"/>
      <c r="J3" s="25"/>
      <c r="K3" s="25"/>
    </row>
    <row r="4" spans="1:11" x14ac:dyDescent="0.3">
      <c r="A4" s="4">
        <v>3</v>
      </c>
      <c r="B4" s="5" t="s">
        <v>9</v>
      </c>
      <c r="C4" s="5" t="s">
        <v>34</v>
      </c>
      <c r="D4" s="5" t="s">
        <v>41</v>
      </c>
      <c r="E4" s="5" t="s">
        <v>42</v>
      </c>
      <c r="F4" s="5">
        <v>1803</v>
      </c>
      <c r="G4" s="21">
        <v>1231231234</v>
      </c>
      <c r="H4" s="25"/>
      <c r="I4" s="25"/>
      <c r="J4" s="25"/>
      <c r="K4" s="25"/>
    </row>
    <row r="5" spans="1:11" x14ac:dyDescent="0.3">
      <c r="A5" s="4">
        <v>4</v>
      </c>
      <c r="B5" s="5" t="s">
        <v>10</v>
      </c>
      <c r="C5" s="5" t="s">
        <v>35</v>
      </c>
      <c r="D5" s="5" t="s">
        <v>44</v>
      </c>
      <c r="E5" s="5" t="s">
        <v>42</v>
      </c>
      <c r="F5" s="5">
        <v>2245</v>
      </c>
      <c r="G5" s="21">
        <v>1231231224</v>
      </c>
      <c r="H5" s="25"/>
      <c r="I5" s="25"/>
      <c r="J5" s="25"/>
      <c r="K5" s="25"/>
    </row>
    <row r="6" spans="1:11" x14ac:dyDescent="0.3">
      <c r="A6" s="4">
        <v>5</v>
      </c>
      <c r="B6" s="5" t="s">
        <v>11</v>
      </c>
      <c r="C6" s="5" t="s">
        <v>36</v>
      </c>
      <c r="D6" s="5" t="s">
        <v>43</v>
      </c>
      <c r="E6" s="5" t="s">
        <v>42</v>
      </c>
      <c r="F6" s="5">
        <v>1235</v>
      </c>
      <c r="G6" s="21">
        <v>988787994</v>
      </c>
      <c r="H6" s="25"/>
      <c r="I6" s="25"/>
      <c r="J6" s="25"/>
      <c r="K6" s="25"/>
    </row>
    <row r="7" spans="1:11" x14ac:dyDescent="0.3">
      <c r="A7" s="7">
        <v>6</v>
      </c>
      <c r="B7" s="8" t="s">
        <v>12</v>
      </c>
      <c r="C7" s="8" t="s">
        <v>37</v>
      </c>
      <c r="D7" s="8" t="s">
        <v>39</v>
      </c>
      <c r="E7" s="8" t="s">
        <v>42</v>
      </c>
      <c r="F7" s="8">
        <v>7523</v>
      </c>
      <c r="G7" s="22">
        <v>2769479994</v>
      </c>
      <c r="H7" s="25"/>
      <c r="I7" s="25"/>
      <c r="J7" s="25"/>
      <c r="K7" s="25"/>
    </row>
    <row r="8" spans="1:11" x14ac:dyDescent="0.3">
      <c r="A8" s="7">
        <v>7</v>
      </c>
      <c r="B8" s="8" t="s">
        <v>13</v>
      </c>
      <c r="C8" s="8" t="s">
        <v>38</v>
      </c>
      <c r="D8" s="8" t="s">
        <v>45</v>
      </c>
      <c r="E8" s="8" t="s">
        <v>42</v>
      </c>
      <c r="F8" s="8">
        <v>6234</v>
      </c>
      <c r="G8" s="23">
        <v>4562767336</v>
      </c>
      <c r="H8" s="25"/>
      <c r="I8" s="25"/>
      <c r="J8" s="25"/>
      <c r="K8" s="25"/>
    </row>
    <row r="9" spans="1:11" x14ac:dyDescent="0.3">
      <c r="A9" s="87"/>
      <c r="B9" s="88"/>
      <c r="C9" s="8"/>
      <c r="D9" s="8"/>
      <c r="E9" s="8"/>
      <c r="F9" s="88"/>
      <c r="G9" s="90"/>
    </row>
    <row r="10" spans="1:11" x14ac:dyDescent="0.3">
      <c r="A10" s="87"/>
      <c r="B10" s="88"/>
      <c r="C10" s="89" t="s">
        <v>69</v>
      </c>
      <c r="D10" s="89" t="s">
        <v>69</v>
      </c>
      <c r="E10" s="89" t="s">
        <v>69</v>
      </c>
      <c r="F10" s="88" t="s">
        <v>69</v>
      </c>
      <c r="G10" s="90" t="s">
        <v>69</v>
      </c>
    </row>
    <row r="11" spans="1:11" x14ac:dyDescent="0.3">
      <c r="A11" s="87"/>
      <c r="B11" s="88"/>
      <c r="C11" s="89"/>
      <c r="D11" s="89"/>
      <c r="E11" s="89"/>
      <c r="F11" s="88"/>
      <c r="G11" s="90"/>
    </row>
    <row r="12" spans="1:11" x14ac:dyDescent="0.3">
      <c r="A12" s="87"/>
      <c r="B12" s="88"/>
      <c r="C12" s="89"/>
      <c r="D12" s="89"/>
      <c r="E12" s="89"/>
      <c r="F12" s="88"/>
      <c r="G12" s="90"/>
    </row>
    <row r="13" spans="1:11" x14ac:dyDescent="0.3">
      <c r="A13" s="87"/>
      <c r="B13" s="88"/>
      <c r="C13" s="89"/>
      <c r="D13" s="89"/>
      <c r="E13" s="89"/>
      <c r="F13" s="88"/>
      <c r="G13" s="90"/>
    </row>
    <row r="14" spans="1:11" x14ac:dyDescent="0.3">
      <c r="A14" s="87"/>
      <c r="B14" s="88"/>
      <c r="C14" s="89"/>
      <c r="D14" s="89"/>
      <c r="E14" s="89"/>
      <c r="F14" s="88"/>
      <c r="G14" s="90"/>
    </row>
    <row r="15" spans="1:11" x14ac:dyDescent="0.3">
      <c r="A15" s="87"/>
      <c r="B15" s="88"/>
      <c r="C15" s="89"/>
      <c r="D15" s="89"/>
      <c r="E15" s="89"/>
      <c r="F15" s="88"/>
      <c r="G15" s="90"/>
    </row>
    <row r="16" spans="1:11" x14ac:dyDescent="0.3">
      <c r="A16" s="87"/>
      <c r="B16" s="88"/>
      <c r="C16" s="89"/>
      <c r="D16" s="89"/>
      <c r="E16" s="89"/>
      <c r="F16" s="88"/>
      <c r="G16" s="90"/>
    </row>
    <row r="17" spans="1:7" x14ac:dyDescent="0.3">
      <c r="A17" s="87"/>
      <c r="B17" s="88"/>
      <c r="C17" s="89"/>
      <c r="D17" s="89"/>
      <c r="E17" s="89"/>
      <c r="F17" s="88"/>
      <c r="G17" s="90"/>
    </row>
    <row r="18" spans="1:7" x14ac:dyDescent="0.3">
      <c r="A18" s="87"/>
      <c r="B18" s="88"/>
      <c r="C18" s="89"/>
      <c r="D18" s="89"/>
      <c r="E18" s="89"/>
      <c r="F18" s="88"/>
      <c r="G18" s="90"/>
    </row>
    <row r="19" spans="1:7" x14ac:dyDescent="0.3">
      <c r="A19" s="87"/>
      <c r="B19" s="88"/>
      <c r="C19" s="89"/>
      <c r="D19" s="89"/>
      <c r="E19" s="89"/>
      <c r="F19" s="88"/>
      <c r="G19" s="90"/>
    </row>
    <row r="20" spans="1:7" x14ac:dyDescent="0.3">
      <c r="A20" s="87"/>
      <c r="B20" s="88"/>
      <c r="C20" s="89"/>
      <c r="D20" s="89"/>
      <c r="E20" s="89"/>
      <c r="F20" s="88"/>
      <c r="G20" s="90"/>
    </row>
    <row r="21" spans="1:7" x14ac:dyDescent="0.3">
      <c r="A21" s="87"/>
      <c r="B21" s="88"/>
      <c r="C21" s="89"/>
      <c r="D21" s="89"/>
      <c r="E21" s="89"/>
      <c r="F21" s="88"/>
      <c r="G21" s="90"/>
    </row>
    <row r="22" spans="1:7" x14ac:dyDescent="0.3">
      <c r="A22" s="87"/>
      <c r="B22" s="88"/>
      <c r="C22" s="89"/>
      <c r="D22" s="89"/>
      <c r="E22" s="89"/>
      <c r="F22" s="88"/>
      <c r="G22" s="90"/>
    </row>
    <row r="23" spans="1:7" x14ac:dyDescent="0.3">
      <c r="A23" s="87"/>
      <c r="B23" s="88"/>
      <c r="C23" s="89"/>
      <c r="D23" s="89"/>
      <c r="E23" s="89"/>
      <c r="F23" s="88"/>
      <c r="G23" s="90"/>
    </row>
    <row r="24" spans="1:7" x14ac:dyDescent="0.3">
      <c r="A24" s="87"/>
      <c r="B24" s="88"/>
      <c r="C24" s="89"/>
      <c r="D24" s="89"/>
      <c r="E24" s="89"/>
      <c r="F24" s="88"/>
      <c r="G24" s="90"/>
    </row>
    <row r="25" spans="1:7" x14ac:dyDescent="0.3">
      <c r="A25" s="87"/>
      <c r="B25" s="88"/>
      <c r="C25" s="89"/>
      <c r="D25" s="89"/>
      <c r="E25" s="89"/>
      <c r="F25" s="88"/>
      <c r="G25" s="90"/>
    </row>
    <row r="26" spans="1:7" x14ac:dyDescent="0.3">
      <c r="A26" s="87"/>
      <c r="B26" s="88"/>
      <c r="C26" s="89"/>
      <c r="D26" s="89"/>
      <c r="E26" s="89"/>
      <c r="F26" s="88"/>
      <c r="G26" s="90"/>
    </row>
    <row r="27" spans="1:7" x14ac:dyDescent="0.3">
      <c r="A27" s="87"/>
      <c r="B27" s="88"/>
      <c r="C27" s="89"/>
      <c r="D27" s="89"/>
      <c r="E27" s="89"/>
      <c r="F27" s="88"/>
      <c r="G27" s="90"/>
    </row>
    <row r="28" spans="1:7" x14ac:dyDescent="0.3">
      <c r="A28" s="87"/>
      <c r="B28" s="88"/>
      <c r="C28" s="89"/>
      <c r="D28" s="89"/>
      <c r="E28" s="89"/>
      <c r="F28" s="88"/>
      <c r="G28" s="90"/>
    </row>
    <row r="29" spans="1:7" x14ac:dyDescent="0.3">
      <c r="A29" s="87"/>
      <c r="B29" s="88"/>
      <c r="C29" s="89"/>
      <c r="D29" s="89"/>
      <c r="E29" s="89"/>
      <c r="F29" s="88"/>
      <c r="G29" s="90"/>
    </row>
    <row r="30" spans="1:7" x14ac:dyDescent="0.3">
      <c r="A30" s="87"/>
      <c r="B30" s="88"/>
      <c r="C30" s="89"/>
      <c r="D30" s="89"/>
      <c r="E30" s="89"/>
      <c r="F30" s="88"/>
      <c r="G30" s="90"/>
    </row>
    <row r="31" spans="1:7" x14ac:dyDescent="0.3">
      <c r="A31" s="87"/>
      <c r="B31" s="88"/>
      <c r="C31" s="89"/>
      <c r="D31" s="89"/>
      <c r="E31" s="89"/>
      <c r="F31" s="88"/>
      <c r="G31" s="90"/>
    </row>
    <row r="32" spans="1:7" x14ac:dyDescent="0.3">
      <c r="A32" s="87"/>
      <c r="B32" s="88"/>
      <c r="C32" s="89"/>
      <c r="D32" s="89"/>
      <c r="E32" s="89"/>
      <c r="F32" s="88"/>
      <c r="G32" s="90"/>
    </row>
    <row r="33" spans="1:7" x14ac:dyDescent="0.3">
      <c r="A33" s="91"/>
      <c r="B33" s="92"/>
      <c r="C33" s="89"/>
      <c r="D33" s="89"/>
      <c r="E33" s="89"/>
      <c r="F33" s="92"/>
      <c r="G33" s="93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nventory"/>
  <dimension ref="A1:G71"/>
  <sheetViews>
    <sheetView workbookViewId="0">
      <selection activeCell="A10" sqref="A10:G10"/>
    </sheetView>
  </sheetViews>
  <sheetFormatPr defaultRowHeight="14.4" x14ac:dyDescent="0.3"/>
  <cols>
    <col min="1" max="1" width="10.44140625" customWidth="1"/>
    <col min="2" max="2" width="22.109375" customWidth="1"/>
    <col min="3" max="3" width="22.6640625" customWidth="1"/>
    <col min="4" max="4" width="11.5546875" style="19" customWidth="1"/>
    <col min="5" max="5" width="17.5546875" customWidth="1"/>
    <col min="6" max="6" width="15.21875" style="45" customWidth="1"/>
    <col min="7" max="7" width="15.77734375" customWidth="1"/>
  </cols>
  <sheetData>
    <row r="1" spans="1:7" x14ac:dyDescent="0.3">
      <c r="A1" s="13" t="s">
        <v>25</v>
      </c>
      <c r="B1" s="14" t="s">
        <v>20</v>
      </c>
      <c r="C1" s="3" t="s">
        <v>24</v>
      </c>
      <c r="D1" s="18" t="s">
        <v>18</v>
      </c>
      <c r="E1" s="15" t="s">
        <v>27</v>
      </c>
      <c r="F1" s="80" t="s">
        <v>26</v>
      </c>
      <c r="G1" s="17" t="s">
        <v>14</v>
      </c>
    </row>
    <row r="2" spans="1:7" x14ac:dyDescent="0.3">
      <c r="A2" s="1">
        <v>1</v>
      </c>
      <c r="B2" s="2" t="s">
        <v>0</v>
      </c>
      <c r="C2" s="1">
        <v>0</v>
      </c>
      <c r="D2" s="19">
        <v>1</v>
      </c>
      <c r="E2">
        <v>81</v>
      </c>
      <c r="F2" s="45">
        <f>Table2[[#This Row],[Quantiy(sold)]]*Table2[[#This Row],[Price]]</f>
        <v>81</v>
      </c>
      <c r="G2">
        <v>1</v>
      </c>
    </row>
    <row r="3" spans="1:7" x14ac:dyDescent="0.3">
      <c r="A3" s="1">
        <v>2</v>
      </c>
      <c r="B3" s="2" t="s">
        <v>1</v>
      </c>
      <c r="C3" s="1">
        <v>0</v>
      </c>
      <c r="D3" s="19">
        <v>1</v>
      </c>
      <c r="E3">
        <v>47</v>
      </c>
      <c r="F3" s="45">
        <f>Table2[[#This Row],[Quantiy(sold)]]*Table2[[#This Row],[Price]]</f>
        <v>47</v>
      </c>
      <c r="G3">
        <v>3</v>
      </c>
    </row>
    <row r="4" spans="1:7" ht="22.2" customHeight="1" x14ac:dyDescent="0.3">
      <c r="A4" s="1">
        <v>3</v>
      </c>
      <c r="B4" s="2" t="s">
        <v>2</v>
      </c>
      <c r="C4" s="1">
        <v>35</v>
      </c>
      <c r="D4" s="19">
        <v>1</v>
      </c>
      <c r="E4">
        <v>52</v>
      </c>
      <c r="F4" s="45">
        <f>Table2[[#This Row],[Quantiy(sold)]]*Table2[[#This Row],[Price]]</f>
        <v>52</v>
      </c>
      <c r="G4">
        <v>5</v>
      </c>
    </row>
    <row r="5" spans="1:7" ht="22.2" customHeight="1" x14ac:dyDescent="0.3">
      <c r="A5" s="11">
        <v>4</v>
      </c>
      <c r="B5" s="12" t="s">
        <v>23</v>
      </c>
      <c r="C5" s="11">
        <v>639</v>
      </c>
      <c r="D5" s="19">
        <v>1.25</v>
      </c>
      <c r="E5">
        <v>33</v>
      </c>
      <c r="F5" s="45">
        <f>Table2[[#This Row],[Quantiy(sold)]]*Table2[[#This Row],[Price]]</f>
        <v>41.25</v>
      </c>
      <c r="G5">
        <v>6</v>
      </c>
    </row>
    <row r="6" spans="1:7" x14ac:dyDescent="0.3">
      <c r="A6" s="1">
        <v>5</v>
      </c>
      <c r="B6" s="2" t="s">
        <v>21</v>
      </c>
      <c r="C6" s="1">
        <v>43</v>
      </c>
      <c r="D6" s="19">
        <v>1.25</v>
      </c>
      <c r="E6">
        <v>3</v>
      </c>
      <c r="F6" s="45">
        <f>Table2[[#This Row],[Quantiy(sold)]]*Table2[[#This Row],[Price]]</f>
        <v>3.75</v>
      </c>
      <c r="G6">
        <v>2</v>
      </c>
    </row>
    <row r="7" spans="1:7" x14ac:dyDescent="0.3">
      <c r="A7" s="1">
        <v>6</v>
      </c>
      <c r="B7" s="2" t="s">
        <v>3</v>
      </c>
      <c r="C7" s="1">
        <v>96</v>
      </c>
      <c r="D7" s="19">
        <v>1.5</v>
      </c>
      <c r="E7">
        <v>10</v>
      </c>
      <c r="F7" s="45">
        <f>Table2[[#This Row],[Quantiy(sold)]]*Table2[[#This Row],[Price]]</f>
        <v>15</v>
      </c>
      <c r="G7">
        <v>5</v>
      </c>
    </row>
    <row r="8" spans="1:7" x14ac:dyDescent="0.3">
      <c r="A8" s="1">
        <v>7</v>
      </c>
      <c r="B8" s="2" t="s">
        <v>4</v>
      </c>
      <c r="C8" s="1">
        <v>42</v>
      </c>
      <c r="D8" s="19">
        <v>1.75</v>
      </c>
      <c r="E8">
        <v>100</v>
      </c>
      <c r="F8" s="45">
        <f>Table2[[#This Row],[Quantiy(sold)]]*Table2[[#This Row],[Price]]</f>
        <v>175</v>
      </c>
      <c r="G8">
        <v>1</v>
      </c>
    </row>
    <row r="9" spans="1:7" x14ac:dyDescent="0.3">
      <c r="A9" s="1">
        <v>8</v>
      </c>
      <c r="B9" s="2" t="s">
        <v>5</v>
      </c>
      <c r="C9" s="1">
        <v>65</v>
      </c>
      <c r="D9" s="19">
        <v>1.75</v>
      </c>
      <c r="E9">
        <v>0</v>
      </c>
      <c r="F9" s="45">
        <f>Table2[[#This Row],[Quantiy(sold)]]*Table2[[#This Row],[Price]]</f>
        <v>0</v>
      </c>
      <c r="G9">
        <v>4</v>
      </c>
    </row>
    <row r="10" spans="1:7" x14ac:dyDescent="0.3">
      <c r="A10" s="81"/>
      <c r="B10" s="94"/>
      <c r="C10" s="81"/>
      <c r="D10" s="85"/>
      <c r="E10" s="38"/>
      <c r="F10" s="86"/>
      <c r="G10" s="38"/>
    </row>
    <row r="11" spans="1:7" x14ac:dyDescent="0.3">
      <c r="A11" s="81"/>
      <c r="B11" s="82"/>
      <c r="C11" s="81"/>
      <c r="D11" s="85"/>
      <c r="E11" s="38"/>
      <c r="F11" s="86"/>
      <c r="G11" s="38"/>
    </row>
    <row r="12" spans="1:7" x14ac:dyDescent="0.3">
      <c r="A12" s="81"/>
      <c r="B12" s="82"/>
      <c r="C12" s="81"/>
      <c r="D12" s="85"/>
      <c r="E12" s="38"/>
      <c r="F12" s="86"/>
      <c r="G12" s="38"/>
    </row>
    <row r="13" spans="1:7" x14ac:dyDescent="0.3">
      <c r="A13" s="81"/>
      <c r="B13" s="82"/>
      <c r="C13" s="81"/>
      <c r="D13" s="85"/>
      <c r="E13" s="38"/>
      <c r="F13" s="86"/>
      <c r="G13" s="38"/>
    </row>
    <row r="14" spans="1:7" x14ac:dyDescent="0.3">
      <c r="A14" s="81"/>
      <c r="B14" s="82"/>
      <c r="C14" s="81"/>
      <c r="D14" s="85"/>
      <c r="E14" s="38"/>
      <c r="F14" s="86"/>
      <c r="G14" s="38"/>
    </row>
    <row r="15" spans="1:7" x14ac:dyDescent="0.3">
      <c r="A15" s="81"/>
      <c r="B15" s="82"/>
      <c r="C15" s="81"/>
      <c r="D15" s="85"/>
      <c r="E15" s="38"/>
      <c r="F15" s="86"/>
      <c r="G15" s="38"/>
    </row>
    <row r="16" spans="1:7" x14ac:dyDescent="0.3">
      <c r="A16" s="81"/>
      <c r="B16" s="82"/>
      <c r="C16" s="81"/>
      <c r="D16" s="85"/>
      <c r="E16" s="38"/>
      <c r="F16" s="86"/>
      <c r="G16" s="38"/>
    </row>
    <row r="17" spans="1:7" x14ac:dyDescent="0.3">
      <c r="A17" s="81"/>
      <c r="B17" s="82"/>
      <c r="C17" s="81"/>
      <c r="D17" s="85"/>
      <c r="E17" s="38"/>
      <c r="F17" s="86"/>
      <c r="G17" s="38"/>
    </row>
    <row r="18" spans="1:7" x14ac:dyDescent="0.3">
      <c r="A18" s="81"/>
      <c r="B18" s="82"/>
      <c r="C18" s="81"/>
      <c r="D18" s="85"/>
      <c r="E18" s="38"/>
      <c r="F18" s="86"/>
      <c r="G18" s="38"/>
    </row>
    <row r="19" spans="1:7" x14ac:dyDescent="0.3">
      <c r="A19" s="81"/>
      <c r="B19" s="82"/>
      <c r="C19" s="81"/>
      <c r="D19" s="85"/>
      <c r="E19" s="38"/>
      <c r="F19" s="86"/>
      <c r="G19" s="38"/>
    </row>
    <row r="20" spans="1:7" x14ac:dyDescent="0.3">
      <c r="A20" s="81"/>
      <c r="B20" s="82"/>
      <c r="C20" s="81"/>
      <c r="D20" s="85"/>
      <c r="E20" s="38"/>
      <c r="F20" s="86"/>
      <c r="G20" s="38"/>
    </row>
    <row r="21" spans="1:7" x14ac:dyDescent="0.3">
      <c r="A21" s="81"/>
      <c r="B21" s="82"/>
      <c r="C21" s="81"/>
      <c r="D21" s="85"/>
      <c r="E21" s="38"/>
      <c r="F21" s="86"/>
      <c r="G21" s="38"/>
    </row>
    <row r="22" spans="1:7" x14ac:dyDescent="0.3">
      <c r="A22" s="81"/>
      <c r="B22" s="82"/>
      <c r="C22" s="81"/>
      <c r="D22" s="85"/>
      <c r="E22" s="38"/>
      <c r="F22" s="86"/>
      <c r="G22" s="38"/>
    </row>
    <row r="23" spans="1:7" x14ac:dyDescent="0.3">
      <c r="A23" s="81"/>
      <c r="B23" s="82"/>
      <c r="C23" s="81"/>
      <c r="D23" s="85"/>
      <c r="E23" s="38"/>
      <c r="F23" s="86"/>
      <c r="G23" s="38"/>
    </row>
    <row r="24" spans="1:7" x14ac:dyDescent="0.3">
      <c r="A24" s="81"/>
      <c r="B24" s="82"/>
      <c r="C24" s="81"/>
      <c r="D24" s="85"/>
      <c r="E24" s="38"/>
      <c r="F24" s="86"/>
      <c r="G24" s="38"/>
    </row>
    <row r="25" spans="1:7" x14ac:dyDescent="0.3">
      <c r="A25" s="81"/>
      <c r="B25" s="82"/>
      <c r="C25" s="81"/>
      <c r="D25" s="85"/>
      <c r="E25" s="38"/>
      <c r="F25" s="86"/>
      <c r="G25" s="38"/>
    </row>
    <row r="26" spans="1:7" x14ac:dyDescent="0.3">
      <c r="A26" s="81"/>
      <c r="B26" s="82"/>
      <c r="C26" s="81"/>
      <c r="D26" s="85"/>
      <c r="E26" s="38"/>
      <c r="F26" s="86"/>
      <c r="G26" s="38"/>
    </row>
    <row r="27" spans="1:7" x14ac:dyDescent="0.3">
      <c r="A27" s="81"/>
      <c r="B27" s="82"/>
      <c r="C27" s="81"/>
      <c r="D27" s="85"/>
      <c r="E27" s="38"/>
      <c r="F27" s="86"/>
      <c r="G27" s="38"/>
    </row>
    <row r="28" spans="1:7" x14ac:dyDescent="0.3">
      <c r="A28" s="81"/>
      <c r="B28" s="82"/>
      <c r="C28" s="81"/>
      <c r="D28" s="85"/>
      <c r="E28" s="38"/>
      <c r="F28" s="86"/>
      <c r="G28" s="38"/>
    </row>
    <row r="29" spans="1:7" x14ac:dyDescent="0.3">
      <c r="A29" s="81"/>
      <c r="B29" s="82"/>
      <c r="C29" s="81"/>
      <c r="D29" s="85"/>
      <c r="E29" s="38"/>
      <c r="F29" s="86"/>
      <c r="G29" s="38"/>
    </row>
    <row r="30" spans="1:7" x14ac:dyDescent="0.3">
      <c r="A30" s="81"/>
      <c r="B30" s="82"/>
      <c r="C30" s="81"/>
      <c r="D30" s="85"/>
      <c r="E30" s="38"/>
      <c r="F30" s="86"/>
      <c r="G30" s="38"/>
    </row>
    <row r="31" spans="1:7" x14ac:dyDescent="0.3">
      <c r="A31" s="81"/>
      <c r="B31" s="82"/>
      <c r="C31" s="81"/>
      <c r="D31" s="85"/>
      <c r="E31" s="38"/>
      <c r="F31" s="86"/>
      <c r="G31" s="38"/>
    </row>
    <row r="32" spans="1:7" x14ac:dyDescent="0.3">
      <c r="A32" s="81"/>
      <c r="B32" s="82"/>
      <c r="C32" s="81"/>
      <c r="D32" s="85"/>
      <c r="E32" s="38"/>
      <c r="F32" s="86"/>
      <c r="G32" s="38"/>
    </row>
    <row r="33" spans="1:7" x14ac:dyDescent="0.3">
      <c r="A33" s="81"/>
      <c r="B33" s="82"/>
      <c r="C33" s="81"/>
      <c r="D33" s="85"/>
      <c r="E33" s="38"/>
      <c r="F33" s="86"/>
      <c r="G33" s="38"/>
    </row>
    <row r="34" spans="1:7" x14ac:dyDescent="0.3">
      <c r="A34" s="81"/>
      <c r="B34" s="82"/>
      <c r="C34" s="81"/>
      <c r="D34" s="85"/>
      <c r="E34" s="38"/>
      <c r="F34" s="86"/>
      <c r="G34" s="38"/>
    </row>
    <row r="35" spans="1:7" x14ac:dyDescent="0.3">
      <c r="A35" s="81"/>
      <c r="B35" s="82"/>
      <c r="C35" s="81"/>
      <c r="D35" s="85"/>
      <c r="E35" s="38"/>
      <c r="F35" s="86"/>
      <c r="G35" s="38"/>
    </row>
    <row r="36" spans="1:7" x14ac:dyDescent="0.3">
      <c r="A36" s="81"/>
      <c r="B36" s="82"/>
      <c r="C36" s="81"/>
      <c r="D36" s="85"/>
      <c r="E36" s="38"/>
      <c r="F36" s="86"/>
      <c r="G36" s="38"/>
    </row>
    <row r="37" spans="1:7" x14ac:dyDescent="0.3">
      <c r="A37" s="81"/>
      <c r="B37" s="82"/>
      <c r="C37" s="81"/>
      <c r="D37" s="85"/>
      <c r="E37" s="38"/>
      <c r="F37" s="86"/>
      <c r="G37" s="38"/>
    </row>
    <row r="38" spans="1:7" x14ac:dyDescent="0.3">
      <c r="A38" s="81"/>
      <c r="B38" s="82"/>
      <c r="C38" s="81"/>
      <c r="D38" s="85"/>
      <c r="E38" s="38"/>
      <c r="F38" s="86"/>
      <c r="G38" s="38"/>
    </row>
    <row r="39" spans="1:7" x14ac:dyDescent="0.3">
      <c r="A39" s="81"/>
      <c r="B39" s="82"/>
      <c r="C39" s="81"/>
      <c r="D39" s="85"/>
      <c r="E39" s="38"/>
      <c r="F39" s="86"/>
      <c r="G39" s="38"/>
    </row>
    <row r="40" spans="1:7" x14ac:dyDescent="0.3">
      <c r="A40" s="81"/>
      <c r="B40" s="82"/>
      <c r="C40" s="81"/>
      <c r="D40" s="85"/>
      <c r="E40" s="38"/>
      <c r="F40" s="86"/>
      <c r="G40" s="38"/>
    </row>
    <row r="41" spans="1:7" x14ac:dyDescent="0.3">
      <c r="A41" s="81"/>
      <c r="B41" s="82"/>
      <c r="C41" s="81"/>
      <c r="D41" s="85"/>
      <c r="E41" s="38"/>
      <c r="F41" s="86"/>
      <c r="G41" s="38"/>
    </row>
    <row r="42" spans="1:7" x14ac:dyDescent="0.3">
      <c r="A42" s="81"/>
      <c r="B42" s="82"/>
      <c r="C42" s="81"/>
      <c r="D42" s="85"/>
      <c r="E42" s="38"/>
      <c r="F42" s="86"/>
      <c r="G42" s="38"/>
    </row>
    <row r="43" spans="1:7" x14ac:dyDescent="0.3">
      <c r="A43" s="81"/>
      <c r="B43" s="82"/>
      <c r="C43" s="81"/>
      <c r="D43" s="85"/>
      <c r="E43" s="38"/>
      <c r="F43" s="86"/>
      <c r="G43" s="38"/>
    </row>
    <row r="44" spans="1:7" x14ac:dyDescent="0.3">
      <c r="A44" s="81"/>
      <c r="B44" s="82"/>
      <c r="C44" s="81"/>
      <c r="D44" s="85"/>
      <c r="E44" s="38"/>
      <c r="F44" s="86"/>
      <c r="G44" s="38"/>
    </row>
    <row r="45" spans="1:7" x14ac:dyDescent="0.3">
      <c r="A45" s="81"/>
      <c r="B45" s="82"/>
      <c r="C45" s="81"/>
      <c r="D45" s="85"/>
      <c r="E45" s="38"/>
      <c r="F45" s="86"/>
      <c r="G45" s="38"/>
    </row>
    <row r="46" spans="1:7" x14ac:dyDescent="0.3">
      <c r="A46" s="81"/>
      <c r="B46" s="82"/>
      <c r="C46" s="81"/>
      <c r="D46" s="85"/>
      <c r="E46" s="38"/>
      <c r="F46" s="86"/>
      <c r="G46" s="38"/>
    </row>
    <row r="47" spans="1:7" x14ac:dyDescent="0.3">
      <c r="A47" s="81"/>
      <c r="B47" s="82"/>
      <c r="C47" s="81"/>
      <c r="D47" s="85"/>
      <c r="E47" s="38"/>
      <c r="F47" s="86"/>
      <c r="G47" s="38"/>
    </row>
    <row r="48" spans="1:7" x14ac:dyDescent="0.3">
      <c r="A48" s="81"/>
      <c r="B48" s="82"/>
      <c r="C48" s="81"/>
      <c r="D48" s="85"/>
      <c r="E48" s="38"/>
      <c r="F48" s="86"/>
      <c r="G48" s="38"/>
    </row>
    <row r="49" spans="1:7" x14ac:dyDescent="0.3">
      <c r="A49" s="81"/>
      <c r="B49" s="82"/>
      <c r="C49" s="81"/>
      <c r="D49" s="85"/>
      <c r="E49" s="38"/>
      <c r="F49" s="86"/>
      <c r="G49" s="38"/>
    </row>
    <row r="50" spans="1:7" x14ac:dyDescent="0.3">
      <c r="A50" s="81"/>
      <c r="B50" s="82"/>
      <c r="C50" s="81"/>
      <c r="D50" s="85"/>
      <c r="E50" s="38"/>
      <c r="F50" s="86"/>
      <c r="G50" s="38"/>
    </row>
    <row r="51" spans="1:7" x14ac:dyDescent="0.3">
      <c r="A51" s="81"/>
      <c r="B51" s="82"/>
      <c r="C51" s="81"/>
      <c r="D51" s="85"/>
      <c r="E51" s="38"/>
      <c r="F51" s="86"/>
      <c r="G51" s="38"/>
    </row>
    <row r="52" spans="1:7" x14ac:dyDescent="0.3">
      <c r="A52" s="81"/>
      <c r="B52" s="82"/>
      <c r="C52" s="81"/>
      <c r="D52" s="85"/>
      <c r="E52" s="38"/>
      <c r="F52" s="86"/>
      <c r="G52" s="38"/>
    </row>
    <row r="53" spans="1:7" x14ac:dyDescent="0.3">
      <c r="A53" s="81"/>
      <c r="B53" s="82"/>
      <c r="C53" s="81"/>
      <c r="D53" s="85"/>
      <c r="E53" s="38"/>
      <c r="F53" s="86"/>
      <c r="G53" s="38"/>
    </row>
    <row r="54" spans="1:7" x14ac:dyDescent="0.3">
      <c r="A54" s="81"/>
      <c r="B54" s="82"/>
      <c r="C54" s="81"/>
      <c r="D54" s="85"/>
      <c r="E54" s="38"/>
      <c r="F54" s="86"/>
      <c r="G54" s="38"/>
    </row>
    <row r="55" spans="1:7" x14ac:dyDescent="0.3">
      <c r="A55" s="81"/>
      <c r="B55" s="82"/>
      <c r="C55" s="81"/>
      <c r="D55" s="85"/>
      <c r="E55" s="38"/>
      <c r="F55" s="86"/>
      <c r="G55" s="38"/>
    </row>
    <row r="56" spans="1:7" x14ac:dyDescent="0.3">
      <c r="A56" s="81"/>
      <c r="B56" s="82"/>
      <c r="C56" s="81"/>
      <c r="D56" s="85"/>
      <c r="E56" s="38"/>
      <c r="F56" s="86"/>
      <c r="G56" s="38"/>
    </row>
    <row r="57" spans="1:7" x14ac:dyDescent="0.3">
      <c r="A57" s="81"/>
      <c r="B57" s="82"/>
      <c r="C57" s="81"/>
      <c r="D57" s="85"/>
      <c r="E57" s="38"/>
      <c r="F57" s="86"/>
      <c r="G57" s="38"/>
    </row>
    <row r="58" spans="1:7" x14ac:dyDescent="0.3">
      <c r="A58" s="81"/>
      <c r="B58" s="82"/>
      <c r="C58" s="81"/>
      <c r="D58" s="85"/>
      <c r="E58" s="38"/>
      <c r="F58" s="86"/>
      <c r="G58" s="38"/>
    </row>
    <row r="59" spans="1:7" x14ac:dyDescent="0.3">
      <c r="A59" s="81"/>
      <c r="B59" s="82"/>
      <c r="C59" s="81"/>
      <c r="D59" s="85"/>
      <c r="E59" s="38"/>
      <c r="F59" s="86"/>
      <c r="G59" s="38"/>
    </row>
    <row r="60" spans="1:7" x14ac:dyDescent="0.3">
      <c r="A60" s="81"/>
      <c r="B60" s="82"/>
      <c r="C60" s="81"/>
      <c r="D60" s="85"/>
      <c r="E60" s="38"/>
      <c r="F60" s="86"/>
      <c r="G60" s="38"/>
    </row>
    <row r="61" spans="1:7" x14ac:dyDescent="0.3">
      <c r="A61" s="81"/>
      <c r="B61" s="82"/>
      <c r="C61" s="81"/>
      <c r="D61" s="85"/>
      <c r="E61" s="38"/>
      <c r="F61" s="86"/>
      <c r="G61" s="38"/>
    </row>
    <row r="62" spans="1:7" x14ac:dyDescent="0.3">
      <c r="A62" s="81"/>
      <c r="B62" s="82"/>
      <c r="C62" s="81"/>
      <c r="D62" s="85"/>
      <c r="E62" s="38"/>
      <c r="F62" s="86"/>
      <c r="G62" s="38"/>
    </row>
    <row r="63" spans="1:7" x14ac:dyDescent="0.3">
      <c r="A63" s="81"/>
      <c r="B63" s="82"/>
      <c r="C63" s="81"/>
      <c r="D63" s="85"/>
      <c r="E63" s="38"/>
      <c r="F63" s="86"/>
      <c r="G63" s="38"/>
    </row>
    <row r="64" spans="1:7" x14ac:dyDescent="0.3">
      <c r="A64" s="83"/>
      <c r="B64" s="84"/>
      <c r="C64" s="83"/>
      <c r="D64" s="85"/>
      <c r="E64" s="38"/>
      <c r="F64" s="86"/>
      <c r="G64" s="38"/>
    </row>
    <row r="65" spans="1:7" x14ac:dyDescent="0.3">
      <c r="A65" s="81"/>
      <c r="B65" s="82"/>
      <c r="C65" s="81"/>
      <c r="D65" s="85"/>
      <c r="E65" s="38"/>
      <c r="F65" s="86"/>
      <c r="G65" s="38"/>
    </row>
    <row r="66" spans="1:7" x14ac:dyDescent="0.3">
      <c r="A66" s="81"/>
      <c r="B66" s="82"/>
      <c r="C66" s="81"/>
      <c r="D66" s="85"/>
      <c r="E66" s="38"/>
      <c r="F66" s="86"/>
      <c r="G66" s="38"/>
    </row>
    <row r="67" spans="1:7" x14ac:dyDescent="0.3">
      <c r="A67" s="81"/>
      <c r="B67" s="82"/>
      <c r="C67" s="81"/>
      <c r="D67" s="85"/>
      <c r="E67" s="38"/>
      <c r="F67" s="86"/>
      <c r="G67" s="38"/>
    </row>
    <row r="68" spans="1:7" x14ac:dyDescent="0.3">
      <c r="A68" s="81"/>
      <c r="B68" s="82"/>
      <c r="C68" s="81"/>
      <c r="D68" s="85"/>
      <c r="E68" s="38"/>
      <c r="F68" s="86"/>
      <c r="G68" s="38"/>
    </row>
    <row r="69" spans="1:7" x14ac:dyDescent="0.3">
      <c r="A69" s="81"/>
      <c r="B69" s="82"/>
      <c r="C69" s="81"/>
      <c r="D69" s="85"/>
      <c r="E69" s="38"/>
      <c r="F69" s="86"/>
      <c r="G69" s="38"/>
    </row>
    <row r="70" spans="1:7" x14ac:dyDescent="0.3">
      <c r="A70" s="81"/>
      <c r="B70" s="82"/>
      <c r="C70" s="81"/>
      <c r="D70" s="85"/>
      <c r="E70" s="38"/>
      <c r="F70" s="86"/>
      <c r="G70" s="38"/>
    </row>
    <row r="71" spans="1:7" x14ac:dyDescent="0.3">
      <c r="A71" s="83"/>
      <c r="B71" s="84"/>
      <c r="C71" s="83"/>
      <c r="D71" s="85"/>
      <c r="E71" s="38"/>
      <c r="F71" s="86"/>
      <c r="G71" s="38"/>
    </row>
  </sheetData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119"/>
  <sheetViews>
    <sheetView zoomScale="70" zoomScaleNormal="70" workbookViewId="0">
      <selection activeCell="A4" sqref="A2:F4"/>
    </sheetView>
  </sheetViews>
  <sheetFormatPr defaultRowHeight="14.4" x14ac:dyDescent="0.3"/>
  <cols>
    <col min="1" max="1" width="14.44140625" customWidth="1"/>
    <col min="2" max="2" width="16.109375" customWidth="1"/>
    <col min="3" max="3" width="13.6640625" customWidth="1"/>
    <col min="4" max="4" width="12.44140625" customWidth="1"/>
    <col min="5" max="5" width="15.109375" customWidth="1"/>
    <col min="6" max="6" width="13.44140625" customWidth="1"/>
    <col min="7" max="7" width="17.5546875" customWidth="1"/>
  </cols>
  <sheetData>
    <row r="1" spans="1:6" x14ac:dyDescent="0.3">
      <c r="A1" s="28" t="s">
        <v>53</v>
      </c>
      <c r="B1" s="9" t="s">
        <v>16</v>
      </c>
      <c r="C1" s="10" t="s">
        <v>22</v>
      </c>
      <c r="D1" t="s">
        <v>19</v>
      </c>
      <c r="E1" t="s">
        <v>65</v>
      </c>
      <c r="F1" t="s">
        <v>17</v>
      </c>
    </row>
    <row r="2" spans="1:6" x14ac:dyDescent="0.3">
      <c r="B2" s="29"/>
      <c r="C2" s="30"/>
      <c r="D2" s="31"/>
      <c r="F2" s="31"/>
    </row>
    <row r="3" spans="1:6" x14ac:dyDescent="0.3">
      <c r="B3" s="29"/>
      <c r="C3" s="30"/>
      <c r="D3" s="31"/>
      <c r="F3" s="31"/>
    </row>
    <row r="4" spans="1:6" x14ac:dyDescent="0.3">
      <c r="B4" s="29"/>
      <c r="C4" s="30"/>
      <c r="D4" s="31"/>
      <c r="F4" s="31"/>
    </row>
    <row r="5" spans="1:6" x14ac:dyDescent="0.3">
      <c r="B5" s="29"/>
      <c r="C5" s="30"/>
      <c r="D5" s="31"/>
      <c r="F5" s="31"/>
    </row>
    <row r="6" spans="1:6" x14ac:dyDescent="0.3">
      <c r="B6" s="29"/>
      <c r="C6" s="30"/>
      <c r="D6" s="31"/>
      <c r="F6" s="31"/>
    </row>
    <row r="7" spans="1:6" x14ac:dyDescent="0.3">
      <c r="B7" s="29"/>
      <c r="C7" s="30"/>
      <c r="D7" s="31"/>
      <c r="F7" s="31"/>
    </row>
    <row r="8" spans="1:6" x14ac:dyDescent="0.3">
      <c r="B8" s="29"/>
      <c r="C8" s="30"/>
      <c r="D8" s="31"/>
      <c r="F8" s="31"/>
    </row>
    <row r="9" spans="1:6" x14ac:dyDescent="0.3">
      <c r="B9" s="29"/>
      <c r="C9" s="30"/>
      <c r="D9" s="31"/>
      <c r="F9" s="31"/>
    </row>
    <row r="10" spans="1:6" x14ac:dyDescent="0.3">
      <c r="B10" s="29"/>
      <c r="C10" s="30"/>
      <c r="D10" s="31"/>
      <c r="F10" s="31"/>
    </row>
    <row r="11" spans="1:6" x14ac:dyDescent="0.3">
      <c r="B11" s="29"/>
      <c r="C11" s="30"/>
      <c r="D11" s="31"/>
      <c r="F11" s="31"/>
    </row>
    <row r="12" spans="1:6" x14ac:dyDescent="0.3">
      <c r="B12" s="29"/>
      <c r="C12" s="30"/>
      <c r="D12" s="31"/>
      <c r="F12" s="31"/>
    </row>
    <row r="13" spans="1:6" x14ac:dyDescent="0.3">
      <c r="D13" s="31"/>
    </row>
    <row r="14" spans="1:6" x14ac:dyDescent="0.3">
      <c r="D14" s="31"/>
    </row>
    <row r="15" spans="1:6" x14ac:dyDescent="0.3">
      <c r="D15" s="31"/>
    </row>
    <row r="16" spans="1:6" x14ac:dyDescent="0.3">
      <c r="D16" s="31"/>
    </row>
    <row r="17" spans="4:4" x14ac:dyDescent="0.3">
      <c r="D17" s="31"/>
    </row>
    <row r="18" spans="4:4" x14ac:dyDescent="0.3">
      <c r="D18" s="31"/>
    </row>
    <row r="19" spans="4:4" x14ac:dyDescent="0.3">
      <c r="D19" s="31"/>
    </row>
    <row r="20" spans="4:4" x14ac:dyDescent="0.3">
      <c r="D20" s="31"/>
    </row>
    <row r="21" spans="4:4" x14ac:dyDescent="0.3">
      <c r="D21" s="31"/>
    </row>
    <row r="22" spans="4:4" x14ac:dyDescent="0.3">
      <c r="D22" s="31"/>
    </row>
    <row r="23" spans="4:4" x14ac:dyDescent="0.3">
      <c r="D23" s="31"/>
    </row>
    <row r="24" spans="4:4" x14ac:dyDescent="0.3">
      <c r="D24" s="31"/>
    </row>
    <row r="25" spans="4:4" x14ac:dyDescent="0.3">
      <c r="D25" s="31"/>
    </row>
    <row r="26" spans="4:4" x14ac:dyDescent="0.3">
      <c r="D26" s="31"/>
    </row>
    <row r="27" spans="4:4" x14ac:dyDescent="0.3">
      <c r="D27" s="31"/>
    </row>
    <row r="28" spans="4:4" x14ac:dyDescent="0.3">
      <c r="D28" s="31"/>
    </row>
    <row r="29" spans="4:4" x14ac:dyDescent="0.3">
      <c r="D29" s="31"/>
    </row>
    <row r="30" spans="4:4" x14ac:dyDescent="0.3">
      <c r="D30" s="31"/>
    </row>
    <row r="31" spans="4:4" x14ac:dyDescent="0.3">
      <c r="D31" s="31"/>
    </row>
    <row r="32" spans="4:4" x14ac:dyDescent="0.3">
      <c r="D32" s="31"/>
    </row>
    <row r="33" spans="4:4" x14ac:dyDescent="0.3">
      <c r="D33" s="31"/>
    </row>
    <row r="34" spans="4:4" x14ac:dyDescent="0.3">
      <c r="D34" s="31"/>
    </row>
    <row r="35" spans="4:4" x14ac:dyDescent="0.3">
      <c r="D35" s="31"/>
    </row>
    <row r="36" spans="4:4" x14ac:dyDescent="0.3">
      <c r="D36" s="31"/>
    </row>
    <row r="37" spans="4:4" x14ac:dyDescent="0.3">
      <c r="D37" s="31"/>
    </row>
    <row r="38" spans="4:4" x14ac:dyDescent="0.3">
      <c r="D38" s="31"/>
    </row>
    <row r="39" spans="4:4" x14ac:dyDescent="0.3">
      <c r="D39" s="31"/>
    </row>
    <row r="40" spans="4:4" x14ac:dyDescent="0.3">
      <c r="D40" s="31"/>
    </row>
    <row r="41" spans="4:4" x14ac:dyDescent="0.3">
      <c r="D41" s="31"/>
    </row>
    <row r="42" spans="4:4" x14ac:dyDescent="0.3">
      <c r="D42" s="31"/>
    </row>
    <row r="43" spans="4:4" x14ac:dyDescent="0.3">
      <c r="D43" s="31"/>
    </row>
    <row r="44" spans="4:4" x14ac:dyDescent="0.3">
      <c r="D44" s="31"/>
    </row>
    <row r="45" spans="4:4" x14ac:dyDescent="0.3">
      <c r="D45" s="31"/>
    </row>
    <row r="46" spans="4:4" x14ac:dyDescent="0.3">
      <c r="D46" s="31"/>
    </row>
    <row r="47" spans="4:4" x14ac:dyDescent="0.3">
      <c r="D47" s="31"/>
    </row>
    <row r="48" spans="4:4" x14ac:dyDescent="0.3">
      <c r="D48" s="31"/>
    </row>
    <row r="49" spans="4:4" x14ac:dyDescent="0.3">
      <c r="D49" s="31"/>
    </row>
    <row r="50" spans="4:4" x14ac:dyDescent="0.3">
      <c r="D50" s="31"/>
    </row>
    <row r="51" spans="4:4" x14ac:dyDescent="0.3">
      <c r="D51" s="31"/>
    </row>
    <row r="52" spans="4:4" x14ac:dyDescent="0.3">
      <c r="D52" s="31"/>
    </row>
    <row r="53" spans="4:4" x14ac:dyDescent="0.3">
      <c r="D53" s="31"/>
    </row>
    <row r="54" spans="4:4" x14ac:dyDescent="0.3">
      <c r="D54" s="31"/>
    </row>
    <row r="55" spans="4:4" x14ac:dyDescent="0.3">
      <c r="D55" s="31"/>
    </row>
    <row r="56" spans="4:4" x14ac:dyDescent="0.3">
      <c r="D56" s="31"/>
    </row>
    <row r="57" spans="4:4" x14ac:dyDescent="0.3">
      <c r="D57" s="31"/>
    </row>
    <row r="58" spans="4:4" x14ac:dyDescent="0.3">
      <c r="D58" s="31"/>
    </row>
    <row r="59" spans="4:4" x14ac:dyDescent="0.3">
      <c r="D59" s="31"/>
    </row>
    <row r="60" spans="4:4" x14ac:dyDescent="0.3">
      <c r="D60" s="31"/>
    </row>
    <row r="61" spans="4:4" x14ac:dyDescent="0.3">
      <c r="D61" s="31"/>
    </row>
    <row r="62" spans="4:4" x14ac:dyDescent="0.3">
      <c r="D62" s="31"/>
    </row>
    <row r="63" spans="4:4" x14ac:dyDescent="0.3">
      <c r="D63" s="31"/>
    </row>
    <row r="64" spans="4:4" x14ac:dyDescent="0.3">
      <c r="D64" s="31"/>
    </row>
    <row r="65" spans="4:4" x14ac:dyDescent="0.3">
      <c r="D65" s="31"/>
    </row>
    <row r="66" spans="4:4" x14ac:dyDescent="0.3">
      <c r="D66" s="31"/>
    </row>
    <row r="67" spans="4:4" x14ac:dyDescent="0.3">
      <c r="D67" s="31"/>
    </row>
    <row r="68" spans="4:4" x14ac:dyDescent="0.3">
      <c r="D68" s="31"/>
    </row>
    <row r="69" spans="4:4" x14ac:dyDescent="0.3">
      <c r="D69" s="31"/>
    </row>
    <row r="70" spans="4:4" x14ac:dyDescent="0.3">
      <c r="D70" s="31"/>
    </row>
    <row r="71" spans="4:4" x14ac:dyDescent="0.3">
      <c r="D71" s="31"/>
    </row>
    <row r="72" spans="4:4" x14ac:dyDescent="0.3">
      <c r="D72" s="31"/>
    </row>
    <row r="73" spans="4:4" x14ac:dyDescent="0.3">
      <c r="D73" s="31"/>
    </row>
    <row r="74" spans="4:4" x14ac:dyDescent="0.3">
      <c r="D74" s="31"/>
    </row>
    <row r="75" spans="4:4" x14ac:dyDescent="0.3">
      <c r="D75" s="31"/>
    </row>
    <row r="76" spans="4:4" x14ac:dyDescent="0.3">
      <c r="D76" s="31"/>
    </row>
    <row r="77" spans="4:4" x14ac:dyDescent="0.3">
      <c r="D77" s="31"/>
    </row>
    <row r="78" spans="4:4" x14ac:dyDescent="0.3">
      <c r="D78" s="31"/>
    </row>
    <row r="79" spans="4:4" x14ac:dyDescent="0.3">
      <c r="D79" s="31"/>
    </row>
    <row r="80" spans="4:4" x14ac:dyDescent="0.3">
      <c r="D80" s="31"/>
    </row>
    <row r="81" spans="4:4" x14ac:dyDescent="0.3">
      <c r="D81" s="31"/>
    </row>
    <row r="82" spans="4:4" x14ac:dyDescent="0.3">
      <c r="D82" s="31"/>
    </row>
    <row r="83" spans="4:4" x14ac:dyDescent="0.3">
      <c r="D83" s="31"/>
    </row>
    <row r="84" spans="4:4" x14ac:dyDescent="0.3">
      <c r="D84" s="31"/>
    </row>
    <row r="85" spans="4:4" x14ac:dyDescent="0.3">
      <c r="D85" s="31"/>
    </row>
    <row r="86" spans="4:4" x14ac:dyDescent="0.3">
      <c r="D86" s="31"/>
    </row>
    <row r="87" spans="4:4" x14ac:dyDescent="0.3">
      <c r="D87" s="31"/>
    </row>
    <row r="88" spans="4:4" x14ac:dyDescent="0.3">
      <c r="D88" s="31"/>
    </row>
    <row r="89" spans="4:4" x14ac:dyDescent="0.3">
      <c r="D89" s="31"/>
    </row>
    <row r="90" spans="4:4" x14ac:dyDescent="0.3">
      <c r="D90" s="31"/>
    </row>
    <row r="91" spans="4:4" x14ac:dyDescent="0.3">
      <c r="D91" s="31"/>
    </row>
    <row r="92" spans="4:4" x14ac:dyDescent="0.3">
      <c r="D92" s="31"/>
    </row>
    <row r="93" spans="4:4" x14ac:dyDescent="0.3">
      <c r="D93" s="31"/>
    </row>
    <row r="94" spans="4:4" x14ac:dyDescent="0.3">
      <c r="D94" s="31"/>
    </row>
    <row r="95" spans="4:4" x14ac:dyDescent="0.3">
      <c r="D95" s="31"/>
    </row>
    <row r="96" spans="4:4" x14ac:dyDescent="0.3">
      <c r="D96" s="31"/>
    </row>
    <row r="97" spans="4:4" x14ac:dyDescent="0.3">
      <c r="D97" s="31"/>
    </row>
    <row r="98" spans="4:4" x14ac:dyDescent="0.3">
      <c r="D98" s="31"/>
    </row>
    <row r="99" spans="4:4" x14ac:dyDescent="0.3">
      <c r="D99" s="31"/>
    </row>
    <row r="100" spans="4:4" x14ac:dyDescent="0.3">
      <c r="D100" s="31"/>
    </row>
    <row r="101" spans="4:4" x14ac:dyDescent="0.3">
      <c r="D101" s="31"/>
    </row>
    <row r="102" spans="4:4" x14ac:dyDescent="0.3">
      <c r="D102" s="31"/>
    </row>
    <row r="103" spans="4:4" x14ac:dyDescent="0.3">
      <c r="D103" s="31"/>
    </row>
    <row r="104" spans="4:4" x14ac:dyDescent="0.3">
      <c r="D104" s="31"/>
    </row>
    <row r="105" spans="4:4" x14ac:dyDescent="0.3">
      <c r="D105" s="31"/>
    </row>
    <row r="106" spans="4:4" x14ac:dyDescent="0.3">
      <c r="D106" s="31"/>
    </row>
    <row r="107" spans="4:4" x14ac:dyDescent="0.3">
      <c r="D107" s="31"/>
    </row>
    <row r="108" spans="4:4" x14ac:dyDescent="0.3">
      <c r="D108" s="31"/>
    </row>
    <row r="109" spans="4:4" x14ac:dyDescent="0.3">
      <c r="D109" s="31"/>
    </row>
    <row r="110" spans="4:4" x14ac:dyDescent="0.3">
      <c r="D110" s="31"/>
    </row>
    <row r="111" spans="4:4" x14ac:dyDescent="0.3">
      <c r="D111" s="31"/>
    </row>
    <row r="112" spans="4:4" x14ac:dyDescent="0.3">
      <c r="D112" s="31"/>
    </row>
    <row r="113" spans="4:4" x14ac:dyDescent="0.3">
      <c r="D113" s="31"/>
    </row>
    <row r="114" spans="4:4" x14ac:dyDescent="0.3">
      <c r="D114" s="31"/>
    </row>
    <row r="115" spans="4:4" x14ac:dyDescent="0.3">
      <c r="D115" s="31"/>
    </row>
    <row r="116" spans="4:4" x14ac:dyDescent="0.3">
      <c r="D116" s="31"/>
    </row>
    <row r="117" spans="4:4" x14ac:dyDescent="0.3">
      <c r="D117" s="31"/>
    </row>
    <row r="118" spans="4:4" x14ac:dyDescent="0.3">
      <c r="D118" s="31"/>
    </row>
    <row r="119" spans="4:4" x14ac:dyDescent="0.3">
      <c r="D119" s="31"/>
    </row>
  </sheetData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3E944-340F-422A-A224-A03EDFF2C54B}">
  <sheetPr codeName="Sheet5"/>
  <dimension ref="A1:F28"/>
  <sheetViews>
    <sheetView topLeftCell="A3" zoomScale="115" zoomScaleNormal="115" workbookViewId="0">
      <selection activeCell="H21" sqref="H21"/>
    </sheetView>
  </sheetViews>
  <sheetFormatPr defaultRowHeight="14.4" x14ac:dyDescent="0.3"/>
  <cols>
    <col min="1" max="1" width="15.5546875" customWidth="1"/>
    <col min="2" max="2" width="10.77734375" customWidth="1"/>
    <col min="4" max="4" width="13.44140625" customWidth="1"/>
    <col min="5" max="5" width="8.88671875" style="45"/>
  </cols>
  <sheetData>
    <row r="1" spans="1:6" ht="21" x14ac:dyDescent="0.3">
      <c r="A1" s="46"/>
      <c r="B1" s="47" t="s">
        <v>47</v>
      </c>
      <c r="C1" s="48"/>
      <c r="D1" s="48"/>
      <c r="E1" s="49"/>
      <c r="F1" s="27"/>
    </row>
    <row r="2" spans="1:6" x14ac:dyDescent="0.3">
      <c r="A2" s="50"/>
      <c r="B2" s="51"/>
      <c r="C2" s="52" t="s">
        <v>50</v>
      </c>
      <c r="D2" s="53"/>
      <c r="E2" s="54"/>
      <c r="F2" s="27"/>
    </row>
    <row r="3" spans="1:6" x14ac:dyDescent="0.3">
      <c r="A3" s="50"/>
      <c r="B3" s="53"/>
      <c r="C3" s="52" t="s">
        <v>46</v>
      </c>
      <c r="D3" s="53"/>
      <c r="E3" s="54"/>
      <c r="F3" s="27"/>
    </row>
    <row r="4" spans="1:6" x14ac:dyDescent="0.3">
      <c r="A4" s="50"/>
      <c r="B4" s="53"/>
      <c r="C4" s="52" t="s">
        <v>52</v>
      </c>
      <c r="D4" s="53"/>
      <c r="E4" s="54"/>
      <c r="F4" s="27"/>
    </row>
    <row r="5" spans="1:6" ht="19.2" x14ac:dyDescent="0.3">
      <c r="A5" s="50"/>
      <c r="B5" s="53"/>
      <c r="C5" s="55" t="s">
        <v>51</v>
      </c>
      <c r="D5" s="53"/>
      <c r="E5" s="54"/>
      <c r="F5" s="27"/>
    </row>
    <row r="6" spans="1:6" x14ac:dyDescent="0.3">
      <c r="A6" s="50"/>
      <c r="B6" s="53"/>
      <c r="C6" s="52"/>
      <c r="D6" s="53"/>
      <c r="E6" s="54"/>
      <c r="F6" s="27"/>
    </row>
    <row r="7" spans="1:6" x14ac:dyDescent="0.3">
      <c r="A7" s="56" t="s">
        <v>58</v>
      </c>
      <c r="B7" s="53"/>
      <c r="C7" s="53"/>
      <c r="D7" s="53"/>
      <c r="E7" s="54"/>
      <c r="F7" s="27"/>
    </row>
    <row r="8" spans="1:6" x14ac:dyDescent="0.3">
      <c r="A8" s="50" t="s">
        <v>48</v>
      </c>
      <c r="B8" s="57">
        <v>43082</v>
      </c>
      <c r="C8" s="53" t="s">
        <v>49</v>
      </c>
      <c r="D8" s="58">
        <v>0.54238425925925926</v>
      </c>
      <c r="E8" s="54"/>
      <c r="F8" s="27"/>
    </row>
    <row r="9" spans="1:6" x14ac:dyDescent="0.3">
      <c r="A9" s="59" t="s">
        <v>56</v>
      </c>
      <c r="B9" s="60">
        <v>3</v>
      </c>
      <c r="C9" s="61" t="s">
        <v>57</v>
      </c>
      <c r="D9" s="61"/>
      <c r="E9" s="62" t="s">
        <v>59</v>
      </c>
      <c r="F9" s="27"/>
    </row>
    <row r="10" spans="1:6" x14ac:dyDescent="0.3">
      <c r="A10" s="50"/>
      <c r="B10" s="38"/>
      <c r="C10" s="38"/>
      <c r="D10" s="38"/>
      <c r="E10" s="62"/>
    </row>
    <row r="11" spans="1:6" x14ac:dyDescent="0.3">
      <c r="A11" s="63" t="s">
        <v>23</v>
      </c>
      <c r="B11" s="38"/>
      <c r="C11" s="38">
        <v>2</v>
      </c>
      <c r="D11" s="38"/>
      <c r="E11" s="64">
        <v>2.5</v>
      </c>
    </row>
    <row r="12" spans="1:6" x14ac:dyDescent="0.3">
      <c r="A12" s="65"/>
      <c r="B12" s="38"/>
      <c r="C12" s="38"/>
      <c r="D12" s="38"/>
      <c r="E12" s="64"/>
    </row>
    <row r="13" spans="1:6" x14ac:dyDescent="0.3">
      <c r="A13" s="66"/>
      <c r="B13" s="38"/>
      <c r="C13" s="38"/>
      <c r="D13" s="38"/>
      <c r="E13" s="64"/>
    </row>
    <row r="14" spans="1:6" x14ac:dyDescent="0.3">
      <c r="A14" s="65"/>
      <c r="B14" s="38"/>
      <c r="C14" s="38"/>
      <c r="D14" s="38"/>
      <c r="E14" s="64"/>
    </row>
    <row r="15" spans="1:6" x14ac:dyDescent="0.3">
      <c r="A15" s="63"/>
      <c r="B15" s="38"/>
      <c r="C15" s="38"/>
      <c r="D15" s="38"/>
      <c r="E15" s="64"/>
    </row>
    <row r="16" spans="1:6" x14ac:dyDescent="0.3">
      <c r="A16" s="63"/>
      <c r="B16" s="38"/>
      <c r="C16" s="38"/>
      <c r="D16" s="38"/>
      <c r="E16" s="64"/>
    </row>
    <row r="17" spans="1:6" x14ac:dyDescent="0.3">
      <c r="A17" s="63"/>
      <c r="B17" s="38"/>
      <c r="C17" s="38"/>
      <c r="D17" s="38"/>
      <c r="E17" s="64"/>
    </row>
    <row r="18" spans="1:6" x14ac:dyDescent="0.3">
      <c r="A18" s="63"/>
      <c r="B18" s="38"/>
      <c r="C18" s="38"/>
      <c r="D18" s="38"/>
      <c r="E18" s="64"/>
    </row>
    <row r="19" spans="1:6" x14ac:dyDescent="0.3">
      <c r="A19" s="63"/>
      <c r="B19" s="38"/>
      <c r="C19" s="38"/>
      <c r="D19" s="38"/>
      <c r="E19" s="67"/>
    </row>
    <row r="20" spans="1:6" ht="15.6" x14ac:dyDescent="0.3">
      <c r="A20" s="68" t="s">
        <v>66</v>
      </c>
      <c r="B20" s="69"/>
      <c r="C20" s="69"/>
      <c r="D20" s="69"/>
      <c r="E20" s="70">
        <v>0.390625</v>
      </c>
    </row>
    <row r="21" spans="1:6" ht="21" x14ac:dyDescent="0.4">
      <c r="A21" s="71" t="s">
        <v>67</v>
      </c>
      <c r="B21" s="69"/>
      <c r="C21" s="69"/>
      <c r="D21" s="69"/>
      <c r="E21" s="72">
        <v>6.64</v>
      </c>
    </row>
    <row r="22" spans="1:6" x14ac:dyDescent="0.3">
      <c r="A22" s="63"/>
      <c r="B22" s="38"/>
      <c r="C22" s="38"/>
      <c r="D22" s="38"/>
      <c r="E22" s="67"/>
    </row>
    <row r="23" spans="1:6" x14ac:dyDescent="0.3">
      <c r="A23" s="63" t="s">
        <v>68</v>
      </c>
      <c r="B23" s="38"/>
      <c r="C23" s="38"/>
      <c r="D23" s="38"/>
      <c r="E23" s="64">
        <v>0.75</v>
      </c>
    </row>
    <row r="24" spans="1:6" x14ac:dyDescent="0.3">
      <c r="A24" s="63"/>
      <c r="B24" s="38"/>
      <c r="C24" s="38"/>
      <c r="D24" s="38"/>
      <c r="E24" s="64"/>
    </row>
    <row r="25" spans="1:6" x14ac:dyDescent="0.3">
      <c r="A25" s="63"/>
      <c r="B25" s="38"/>
      <c r="C25" s="38"/>
      <c r="D25" s="38"/>
      <c r="E25" s="64"/>
    </row>
    <row r="26" spans="1:6" x14ac:dyDescent="0.3">
      <c r="A26" s="63"/>
      <c r="B26" s="38"/>
      <c r="C26" s="38"/>
      <c r="D26" s="38"/>
      <c r="E26" s="64"/>
    </row>
    <row r="27" spans="1:6" x14ac:dyDescent="0.3">
      <c r="A27" s="63"/>
      <c r="B27" s="38"/>
      <c r="C27" s="73" t="s">
        <v>54</v>
      </c>
      <c r="D27" s="38"/>
      <c r="E27" s="64"/>
    </row>
    <row r="28" spans="1:6" ht="19.8" thickBot="1" x14ac:dyDescent="0.75">
      <c r="A28" s="74"/>
      <c r="B28" s="75"/>
      <c r="C28" s="76" t="s">
        <v>55</v>
      </c>
      <c r="D28" s="75"/>
      <c r="E28" s="77"/>
      <c r="F28" s="45"/>
    </row>
  </sheetData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B37880-D76C-44FA-8B20-7FC736142E7C}">
  <sheetPr codeName="Sheet1"/>
  <dimension ref="A1:C12"/>
  <sheetViews>
    <sheetView topLeftCell="A2" workbookViewId="0">
      <selection activeCell="I9" sqref="I9"/>
    </sheetView>
  </sheetViews>
  <sheetFormatPr defaultRowHeight="14.4" x14ac:dyDescent="0.3"/>
  <cols>
    <col min="1" max="1" width="19.109375" customWidth="1"/>
    <col min="2" max="2" width="11.88671875" style="37" customWidth="1"/>
  </cols>
  <sheetData>
    <row r="1" spans="1:3" ht="18" hidden="1" customHeight="1" x14ac:dyDescent="0.35">
      <c r="A1" s="33" t="s">
        <v>60</v>
      </c>
      <c r="B1" s="36" t="s">
        <v>61</v>
      </c>
    </row>
    <row r="2" spans="1:3" ht="25.8" x14ac:dyDescent="0.5">
      <c r="A2" s="44" t="s">
        <v>62</v>
      </c>
      <c r="B2" s="43" t="s">
        <v>63</v>
      </c>
    </row>
    <row r="3" spans="1:3" x14ac:dyDescent="0.3">
      <c r="A3" s="38"/>
      <c r="B3" s="36"/>
    </row>
    <row r="4" spans="1:3" x14ac:dyDescent="0.3">
      <c r="A4" s="78" t="s">
        <v>4</v>
      </c>
      <c r="B4" s="37">
        <f>Inventory!F8</f>
        <v>175</v>
      </c>
    </row>
    <row r="5" spans="1:3" x14ac:dyDescent="0.3">
      <c r="A5" s="34" t="s">
        <v>0</v>
      </c>
      <c r="B5" s="37">
        <f>Inventory!E2</f>
        <v>81</v>
      </c>
    </row>
    <row r="6" spans="1:3" x14ac:dyDescent="0.3">
      <c r="A6" s="34" t="s">
        <v>2</v>
      </c>
      <c r="B6" s="37">
        <f>Inventory!F4</f>
        <v>52</v>
      </c>
    </row>
    <row r="7" spans="1:3" x14ac:dyDescent="0.3">
      <c r="A7" s="35" t="s">
        <v>1</v>
      </c>
      <c r="B7" s="37">
        <f>Inventory!F3</f>
        <v>47</v>
      </c>
    </row>
    <row r="8" spans="1:3" x14ac:dyDescent="0.3">
      <c r="A8" s="32" t="s">
        <v>23</v>
      </c>
      <c r="B8" s="37">
        <f>Inventory!F5</f>
        <v>41.25</v>
      </c>
    </row>
    <row r="9" spans="1:3" x14ac:dyDescent="0.3">
      <c r="A9" s="35" t="s">
        <v>3</v>
      </c>
      <c r="B9" s="37">
        <f>Inventory!F7</f>
        <v>15</v>
      </c>
    </row>
    <row r="10" spans="1:3" x14ac:dyDescent="0.3">
      <c r="A10" s="34" t="s">
        <v>21</v>
      </c>
      <c r="B10" s="37">
        <f>Inventory!F6</f>
        <v>3.75</v>
      </c>
    </row>
    <row r="11" spans="1:3" x14ac:dyDescent="0.3">
      <c r="A11" s="79" t="s">
        <v>5</v>
      </c>
      <c r="B11" s="37">
        <f>Inventory!F9</f>
        <v>0</v>
      </c>
    </row>
    <row r="12" spans="1:3" x14ac:dyDescent="0.3">
      <c r="A12" s="41" t="s">
        <v>63</v>
      </c>
      <c r="B12" s="36">
        <f>SUM(B4:B11)</f>
        <v>415</v>
      </c>
      <c r="C12" s="42"/>
    </row>
  </sheetData>
  <sortState ref="A4:B11">
    <sortCondition descending="1" ref="B11"/>
  </sortState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31BE7-58C8-4DCD-8C44-F1FC9877601B}">
  <sheetPr codeName="Sheet6"/>
  <dimension ref="A1:D9"/>
  <sheetViews>
    <sheetView workbookViewId="0">
      <selection activeCell="A24" sqref="A24"/>
    </sheetView>
  </sheetViews>
  <sheetFormatPr defaultRowHeight="14.4" x14ac:dyDescent="0.3"/>
  <cols>
    <col min="1" max="1" width="21.5546875" customWidth="1"/>
    <col min="2" max="2" width="26.33203125" customWidth="1"/>
  </cols>
  <sheetData>
    <row r="1" spans="1:4" ht="25.8" x14ac:dyDescent="0.5">
      <c r="A1" s="44" t="s">
        <v>62</v>
      </c>
      <c r="B1" s="39" t="s">
        <v>64</v>
      </c>
      <c r="C1" s="43"/>
      <c r="D1" s="43"/>
    </row>
    <row r="2" spans="1:4" x14ac:dyDescent="0.3">
      <c r="A2" s="38"/>
      <c r="B2" s="38"/>
      <c r="C2" s="36"/>
      <c r="D2" s="36"/>
    </row>
    <row r="3" spans="1:4" x14ac:dyDescent="0.3">
      <c r="A3" t="s">
        <v>0</v>
      </c>
      <c r="B3">
        <f>Inventory!E2</f>
        <v>81</v>
      </c>
    </row>
    <row r="4" spans="1:4" x14ac:dyDescent="0.3">
      <c r="A4" t="s">
        <v>2</v>
      </c>
      <c r="B4">
        <f>Table2[[#This Row],[TotalSales]]</f>
        <v>52</v>
      </c>
    </row>
    <row r="5" spans="1:4" x14ac:dyDescent="0.3">
      <c r="A5" s="35" t="s">
        <v>1</v>
      </c>
      <c r="B5">
        <f>Inventory!F3</f>
        <v>47</v>
      </c>
    </row>
    <row r="6" spans="1:4" x14ac:dyDescent="0.3">
      <c r="A6" s="32" t="s">
        <v>23</v>
      </c>
      <c r="B6">
        <f>Inventory!F5</f>
        <v>41.25</v>
      </c>
    </row>
    <row r="7" spans="1:4" x14ac:dyDescent="0.3">
      <c r="A7" s="35" t="s">
        <v>3</v>
      </c>
      <c r="B7">
        <f>Table2[[#This Row],[TotalSales]]</f>
        <v>15</v>
      </c>
    </row>
    <row r="8" spans="1:4" x14ac:dyDescent="0.3">
      <c r="A8" s="40" t="s">
        <v>21</v>
      </c>
      <c r="B8">
        <f>Inventory!F6</f>
        <v>3.75</v>
      </c>
    </row>
    <row r="9" spans="1:4" x14ac:dyDescent="0.3">
      <c r="A9" s="35" t="s">
        <v>5</v>
      </c>
      <c r="B9">
        <f>Table2[[#This Row],[TotalSales]]</f>
        <v>0</v>
      </c>
    </row>
  </sheetData>
  <sortState ref="A3:B9">
    <sortCondition descending="1" ref="B9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Props1.xml><?xml version="1.0" encoding="utf-8"?>
<ds:datastoreItem xmlns:ds="http://schemas.openxmlformats.org/officeDocument/2006/customXml" ds:itemID="{7F1AB289-195D-4C80-AFCA-90974669A752}">
  <ds:schemaRefs/>
</ds:datastoreItem>
</file>

<file path=customXml/itemProps2.xml><?xml version="1.0" encoding="utf-8"?>
<ds:datastoreItem xmlns:ds="http://schemas.openxmlformats.org/officeDocument/2006/customXml" ds:itemID="{9F782AFB-FC60-4AA9-86A7-730B5679C68B}">
  <ds:schemaRefs/>
</ds:datastoreItem>
</file>

<file path=customXml/itemProps3.xml><?xml version="1.0" encoding="utf-8"?>
<ds:datastoreItem xmlns:ds="http://schemas.openxmlformats.org/officeDocument/2006/customXml" ds:itemID="{6E8038A2-5312-488A-BE1A-107F2DC88878}">
  <ds:schemaRefs/>
</ds:datastoreItem>
</file>

<file path=customXml/itemProps4.xml><?xml version="1.0" encoding="utf-8"?>
<ds:datastoreItem xmlns:ds="http://schemas.openxmlformats.org/officeDocument/2006/customXml" ds:itemID="{9A6EEAF4-1C2A-4641-811E-F257C9CBA52E}">
  <ds:schemaRefs/>
</ds:datastoreItem>
</file>

<file path=customXml/itemProps5.xml><?xml version="1.0" encoding="utf-8"?>
<ds:datastoreItem xmlns:ds="http://schemas.openxmlformats.org/officeDocument/2006/customXml" ds:itemID="{C1D85027-92B2-4518-BEF2-09176D5F866E}">
  <ds:schemaRefs/>
</ds:datastoreItem>
</file>

<file path=customXml/itemProps6.xml><?xml version="1.0" encoding="utf-8"?>
<ds:datastoreItem xmlns:ds="http://schemas.openxmlformats.org/officeDocument/2006/customXml" ds:itemID="{A1372E27-7D9D-4A25-9F4E-D1B80B9E07A0}">
  <ds:schemaRefs/>
</ds:datastoreItem>
</file>

<file path=customXml/itemProps7.xml><?xml version="1.0" encoding="utf-8"?>
<ds:datastoreItem xmlns:ds="http://schemas.openxmlformats.org/officeDocument/2006/customXml" ds:itemID="{476F28DB-F761-4E25-9DDC-AC77907B0016}">
  <ds:schemaRefs/>
</ds:datastoreItem>
</file>

<file path=customXml/itemProps8.xml><?xml version="1.0" encoding="utf-8"?>
<ds:datastoreItem xmlns:ds="http://schemas.openxmlformats.org/officeDocument/2006/customXml" ds:itemID="{6102B1B8-A5AB-41C0-A7B6-CF6C768C76B4}">
  <ds:schemaRefs>
    <ds:schemaRef ds:uri="http://schemas.microsoft.com/DataMashup"/>
  </ds:schemaRefs>
</ds:datastoreItem>
</file>

<file path=customXml/itemProps9.xml><?xml version="1.0" encoding="utf-8"?>
<ds:datastoreItem xmlns:ds="http://schemas.openxmlformats.org/officeDocument/2006/customXml" ds:itemID="{5345A9DA-9D4E-42AA-972A-94ED4F19E38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Vendors</vt:lpstr>
      <vt:lpstr>Inventory</vt:lpstr>
      <vt:lpstr>Receipt</vt:lpstr>
      <vt:lpstr>PrintReceipt</vt:lpstr>
      <vt:lpstr>TotalSales</vt:lpstr>
      <vt:lpstr>MostSold</vt:lpstr>
      <vt:lpstr>PrintReceipt!Print_Area</vt:lpstr>
      <vt:lpstr>Quantity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LiftedMonk</dc:creator>
  <cp:lastModifiedBy>LiftedMonk</cp:lastModifiedBy>
  <cp:lastPrinted>2017-12-12T19:36:53Z</cp:lastPrinted>
  <dcterms:created xsi:type="dcterms:W3CDTF">2017-11-07T05:09:23Z</dcterms:created>
  <dcterms:modified xsi:type="dcterms:W3CDTF">2017-12-13T19:47:36Z</dcterms:modified>
</cp:coreProperties>
</file>